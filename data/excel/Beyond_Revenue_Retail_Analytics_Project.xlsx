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AW_ORDERS" sheetId="2" state="visible" r:id="rId2"/>
    <sheet xmlns:r="http://schemas.openxmlformats.org/officeDocument/2006/relationships" name="CLEANED_ORDERS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EXCEL_ANALYSIS" sheetId="5" state="visible" r:id="rId5"/>
    <sheet xmlns:r="http://schemas.openxmlformats.org/officeDocument/2006/relationships" name="README" sheetId="6" state="visible" r:id="rId6"/>
  </sheets>
  <definedNames>
    <definedName name="_xlnm._FilterDatabase" localSheetId="1" hidden="1">'RAW_ORDERS'!$A$1:$M$251</definedName>
    <definedName name="_xlnm._FilterDatabase" localSheetId="2" hidden="1">'CLEANED_ORDERS'!$A$1:$S$251</definedName>
    <definedName name="_xlnm._FilterDatabase" localSheetId="3" hidden="1">'DATA_DICTIONARY'!$A$1:$D$20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-mmm-yyyy"/>
    <numFmt numFmtId="165" formatCode="&quot;GH₵&quot; #,##0.00"/>
    <numFmt numFmtId="166" formatCode="0.0%"/>
    <numFmt numFmtId="167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6324F"/>
    </font>
    <font>
      <b val="1"/>
      <color rgb="00FFFFFF"/>
    </font>
    <font>
      <b val="1"/>
      <color rgb="00FFFFFF"/>
      <sz val="15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DCEAF2"/>
      </patternFill>
    </fill>
  </fills>
  <borders count="3">
    <border>
      <left/>
      <right/>
      <top/>
      <bottom/>
      <diagonal/>
    </border>
    <border>
      <bottom style="thin">
        <color rgb="00D9E2E8"/>
      </bottom>
    </border>
    <border>
      <bottom style="medium">
        <color rgb="002A9D8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2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4" fillId="2" borderId="0" applyAlignment="1" pivotButton="0" quotePrefix="0" xfId="0">
      <alignment vertical="center"/>
    </xf>
    <xf numFmtId="166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RawOrders" displayName="RawOrders" ref="A1:M251" headerRowCount="1">
  <autoFilter ref="A1:M251"/>
  <tableColumns count="13">
    <tableColumn id="1" name="Order_ID"/>
    <tableColumn id="2" name="Order_Date"/>
    <tableColumn id="3" name="Customer_ID"/>
    <tableColumn id="4" name="Region"/>
    <tableColumn id="5" name="Product_Category"/>
    <tableColumn id="6" name="Order_Value_GHS"/>
    <tableColumn id="7" name="Product_Cost_GHS"/>
    <tableColumn id="8" name="Delivery_Fee_GHS"/>
    <tableColumn id="9" name="Delivery_Cost_GHS"/>
    <tableColumn id="10" name="Delivery_Status"/>
    <tableColumn id="11" name="Payment_Method"/>
    <tableColumn id="12" name="Delivery_Days"/>
    <tableColumn id="13" name="Failure_Handling_Cost_GH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leanedOrders" displayName="CleanedOrders" ref="A1:S251" headerRowCount="1">
  <autoFilter ref="A1:S251"/>
  <tableColumns count="19">
    <tableColumn id="1" name="Order_ID"/>
    <tableColumn id="2" name="Order_Date"/>
    <tableColumn id="3" name="Customer_ID"/>
    <tableColumn id="4" name="Region"/>
    <tableColumn id="5" name="Product_Category"/>
    <tableColumn id="6" name="Order_Value_GHS"/>
    <tableColumn id="7" name="Product_Cost_GHS"/>
    <tableColumn id="8" name="Delivery_Fee_GHS"/>
    <tableColumn id="9" name="Delivery_Cost_GHS"/>
    <tableColumn id="10" name="Delivery_Status"/>
    <tableColumn id="11" name="Payment_Method"/>
    <tableColumn id="12" name="Delivery_Days"/>
    <tableColumn id="13" name="Failure_Handling_Cost_GHS"/>
    <tableColumn id="14" name="Repeat_Customer_Flag"/>
    <tableColumn id="15" name="Month"/>
    <tableColumn id="16" name="Delivered_Sales_GHS"/>
    <tableColumn id="17" name="Product_Profit_GHS"/>
    <tableColumn id="18" name="Delivery_Margin_GHS"/>
    <tableColumn id="19" name="Estimated_Contribution_GHS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2A9D8F"/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2" customHeight="1">
      <c r="A1" s="1" t="inlineStr">
        <is>
          <t>BEYOND REVENUE | RETAIL OPERATIONS ANALYTICS</t>
        </is>
      </c>
    </row>
    <row r="2" ht="38" customHeight="1">
      <c r="A2" s="2" t="inlineStr">
        <is>
          <t>Purpose</t>
        </is>
      </c>
      <c r="B2" s="3" t="inlineStr">
        <is>
          <t>Investigate delivery failures, product profitability, and repeat-order behaviour using Excel, Python, SQL Server, and Power BI.</t>
        </is>
      </c>
    </row>
    <row r="3" ht="28" customHeight="1">
      <c r="A3" s="2" t="inlineStr">
        <is>
          <t>Important</t>
        </is>
      </c>
      <c r="B3" s="3" t="inlineStr">
        <is>
          <t>SIMULATED DATA ONLY. These are invented practice records, not real business/customer data.</t>
        </is>
      </c>
    </row>
    <row r="4" ht="28" customHeight="1">
      <c r="A4" s="2" t="inlineStr">
        <is>
          <t>Rows</t>
        </is>
      </c>
      <c r="B4" s="3" t="inlineStr">
        <is>
          <t>250 orders</t>
        </is>
      </c>
    </row>
    <row r="5" ht="28" customHeight="1">
      <c r="A5" s="2" t="inlineStr">
        <is>
          <t>Customers</t>
        </is>
      </c>
      <c r="B5" s="3" t="inlineStr">
        <is>
          <t>87 distinct customer IDs</t>
        </is>
      </c>
    </row>
    <row r="6" ht="28" customHeight="1">
      <c r="A6" s="2" t="inlineStr">
        <is>
          <t>Period</t>
        </is>
      </c>
      <c r="B6" s="3" t="inlineStr">
        <is>
          <t>1 Jan 2026 – 30 Jun 2026</t>
        </is>
      </c>
    </row>
    <row r="7" ht="38" customHeight="1">
      <c r="A7" s="2" t="inlineStr">
        <is>
          <t>Recommended workflow</t>
        </is>
      </c>
      <c r="B7" s="3" t="inlineStr">
        <is>
          <t>1) Read READ_ME + DATA_DICTIONARY; 2) inspect RAW_ORDERS; 3) use EXCEL_ANALYSIS formulas; 4) run Python notebook; 5) load CLEANED_ORDERS into SQL Server; 6) build Power BI report; 7) write findings based on actual calculations.</t>
        </is>
      </c>
    </row>
    <row r="8" ht="38" customHeight="1">
      <c r="A8" s="2" t="inlineStr">
        <is>
          <t>Important financial note</t>
        </is>
      </c>
      <c r="B8" s="3" t="inlineStr">
        <is>
          <t>Estimated contribution is simplified and is NOT net profit. Read the Data_Dictionary and README carefully before interpreting results.</t>
        </is>
      </c>
    </row>
    <row r="9" ht="28" customHeight="1">
      <c r="A9" s="2" t="inlineStr">
        <is>
          <t>Primary question</t>
        </is>
      </c>
      <c r="B9" s="3" t="inlineStr">
        <is>
          <t>Is the business facing a bigger issue in delivery outcomes, product profitability, or repeat-order behaviour? Use evidence; do not assume the answer.</t>
        </is>
      </c>
    </row>
    <row r="10" ht="28" customHeight="1">
      <c r="A10" s="2" t="inlineStr">
        <is>
          <t>No fabrication rule</t>
        </is>
      </c>
      <c r="B10" s="3" t="inlineStr">
        <is>
          <t>Do not publish findings or numbers until you have calculated and verified them from this workbook.</t>
        </is>
      </c>
    </row>
    <row r="11" ht="38" customHeight="1">
      <c r="A11" s="2" t="inlineStr">
        <is>
          <t>File contents</t>
        </is>
      </c>
      <c r="B11" s="3" t="inlineStr">
        <is>
          <t>RAW_ORDERS = original simulated data; CLEANED_ORDERS = same records with derived fields; DATA_DICTIONARY = column definitions and assumptions; EXCEL_ANALYSIS = formulas and quick summaries; README = detailed project instructions and business rules.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E8C"/>
    <outlinePr summaryBelow="1" summaryRight="1"/>
    <pageSetUpPr fitToPage="1"/>
  </sheetPr>
  <dimension ref="A1:M2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25" customWidth="1" min="5" max="5"/>
    <col width="17" customWidth="1" min="6" max="6"/>
    <col width="18" customWidth="1" min="7" max="7"/>
    <col width="18" customWidth="1" min="8" max="8"/>
    <col width="19" customWidth="1" min="9" max="9"/>
    <col width="17" customWidth="1" min="10" max="10"/>
    <col width="18" customWidth="1" min="11" max="11"/>
    <col width="15" customWidth="1" min="12" max="12"/>
    <col width="27" customWidth="1" min="13" max="13"/>
  </cols>
  <sheetData>
    <row r="1" ht="30" customHeight="1">
      <c r="A1" s="4" t="inlineStr">
        <is>
          <t>Order_ID</t>
        </is>
      </c>
      <c r="B1" s="4" t="inlineStr">
        <is>
          <t>Order_Date</t>
        </is>
      </c>
      <c r="C1" s="4" t="inlineStr">
        <is>
          <t>Customer_ID</t>
        </is>
      </c>
      <c r="D1" s="4" t="inlineStr">
        <is>
          <t>Region</t>
        </is>
      </c>
      <c r="E1" s="4" t="inlineStr">
        <is>
          <t>Product_Category</t>
        </is>
      </c>
      <c r="F1" s="4" t="inlineStr">
        <is>
          <t>Order_Value_GHS</t>
        </is>
      </c>
      <c r="G1" s="4" t="inlineStr">
        <is>
          <t>Product_Cost_GHS</t>
        </is>
      </c>
      <c r="H1" s="4" t="inlineStr">
        <is>
          <t>Delivery_Fee_GHS</t>
        </is>
      </c>
      <c r="I1" s="4" t="inlineStr">
        <is>
          <t>Delivery_Cost_GHS</t>
        </is>
      </c>
      <c r="J1" s="4" t="inlineStr">
        <is>
          <t>Delivery_Status</t>
        </is>
      </c>
      <c r="K1" s="4" t="inlineStr">
        <is>
          <t>Payment_Method</t>
        </is>
      </c>
      <c r="L1" s="4" t="inlineStr">
        <is>
          <t>Delivery_Days</t>
        </is>
      </c>
      <c r="M1" s="4" t="inlineStr">
        <is>
          <t>Failure_Handling_Cost_GHS</t>
        </is>
      </c>
    </row>
    <row r="2">
      <c r="A2" t="inlineStr">
        <is>
          <t>ORD-1026</t>
        </is>
      </c>
      <c r="B2" s="10" t="n">
        <v>46023</v>
      </c>
      <c r="C2" t="inlineStr">
        <is>
          <t>CUST-039</t>
        </is>
      </c>
      <c r="D2" t="inlineStr">
        <is>
          <t>Eastern</t>
        </is>
      </c>
      <c r="E2" t="inlineStr">
        <is>
          <t>Home &amp; Kitchen</t>
        </is>
      </c>
      <c r="F2" s="11" t="n">
        <v>307.93</v>
      </c>
      <c r="G2" s="11" t="n">
        <v>167.64</v>
      </c>
      <c r="H2" s="11" t="n">
        <v>20</v>
      </c>
      <c r="I2" s="11" t="n">
        <v>30.65</v>
      </c>
      <c r="J2" t="inlineStr">
        <is>
          <t>Delivered</t>
        </is>
      </c>
      <c r="K2" t="inlineStr">
        <is>
          <t>Mobile Money</t>
        </is>
      </c>
      <c r="L2" t="n">
        <v>1</v>
      </c>
      <c r="M2" s="11" t="n">
        <v>0</v>
      </c>
    </row>
    <row r="3">
      <c r="A3" t="inlineStr">
        <is>
          <t>ORD-1068</t>
        </is>
      </c>
      <c r="B3" s="10" t="n">
        <v>46023</v>
      </c>
      <c r="C3" t="inlineStr">
        <is>
          <t>CUST-085</t>
        </is>
      </c>
      <c r="D3" t="inlineStr">
        <is>
          <t>Ashanti</t>
        </is>
      </c>
      <c r="E3" t="inlineStr">
        <is>
          <t>Small Appliances</t>
        </is>
      </c>
      <c r="F3" s="11" t="n">
        <v>773.67</v>
      </c>
      <c r="G3" s="11" t="n">
        <v>471.75</v>
      </c>
      <c r="H3" s="11" t="n">
        <v>30</v>
      </c>
      <c r="I3" s="11" t="n">
        <v>38.62</v>
      </c>
      <c r="J3" t="inlineStr">
        <is>
          <t>Delivered</t>
        </is>
      </c>
      <c r="K3" t="inlineStr">
        <is>
          <t>Cash on Delivery</t>
        </is>
      </c>
      <c r="L3" t="n">
        <v>3</v>
      </c>
      <c r="M3" s="11" t="n">
        <v>0</v>
      </c>
    </row>
    <row r="4">
      <c r="A4" t="inlineStr">
        <is>
          <t>ORD-1073</t>
        </is>
      </c>
      <c r="B4" s="10" t="n">
        <v>46023</v>
      </c>
      <c r="C4" t="inlineStr">
        <is>
          <t>CUST-037</t>
        </is>
      </c>
      <c r="D4" t="inlineStr">
        <is>
          <t>Eastern</t>
        </is>
      </c>
      <c r="E4" t="inlineStr">
        <is>
          <t>Stationery</t>
        </is>
      </c>
      <c r="F4" s="11" t="n">
        <v>153.18</v>
      </c>
      <c r="G4" s="11" t="n">
        <v>69.59999999999999</v>
      </c>
      <c r="H4" s="11" t="n">
        <v>25</v>
      </c>
      <c r="I4" s="11" t="n">
        <v>39.65</v>
      </c>
      <c r="J4" t="inlineStr">
        <is>
          <t>Delivered</t>
        </is>
      </c>
      <c r="K4" t="inlineStr">
        <is>
          <t>Cash on Delivery</t>
        </is>
      </c>
      <c r="L4" t="n">
        <v>2</v>
      </c>
      <c r="M4" s="11" t="n">
        <v>0</v>
      </c>
    </row>
    <row r="5">
      <c r="A5" t="inlineStr">
        <is>
          <t>ORD-1030</t>
        </is>
      </c>
      <c r="B5" s="10" t="n">
        <v>46024</v>
      </c>
      <c r="C5" t="inlineStr">
        <is>
          <t>CUST-014</t>
        </is>
      </c>
      <c r="D5" t="inlineStr">
        <is>
          <t>Greater Accra</t>
        </is>
      </c>
      <c r="E5" t="inlineStr">
        <is>
          <t>Stationery</t>
        </is>
      </c>
      <c r="F5" s="11" t="n">
        <v>51.11</v>
      </c>
      <c r="G5" s="11" t="n">
        <v>25.29</v>
      </c>
      <c r="H5" s="11" t="n">
        <v>30</v>
      </c>
      <c r="I5" s="11" t="n">
        <v>36.65</v>
      </c>
      <c r="J5" t="inlineStr">
        <is>
          <t>Delivered</t>
        </is>
      </c>
      <c r="K5" t="inlineStr">
        <is>
          <t>Card</t>
        </is>
      </c>
      <c r="L5" t="n">
        <v>1</v>
      </c>
      <c r="M5" s="11" t="n">
        <v>0</v>
      </c>
    </row>
    <row r="6">
      <c r="A6" t="inlineStr">
        <is>
          <t>ORD-1246</t>
        </is>
      </c>
      <c r="B6" s="10" t="n">
        <v>46024</v>
      </c>
      <c r="C6" t="inlineStr">
        <is>
          <t>CUST-051</t>
        </is>
      </c>
      <c r="D6" t="inlineStr">
        <is>
          <t>Ashanti</t>
        </is>
      </c>
      <c r="E6" t="inlineStr">
        <is>
          <t>Home &amp; Kitchen</t>
        </is>
      </c>
      <c r="F6" s="11" t="n">
        <v>422.12</v>
      </c>
      <c r="G6" s="11" t="n">
        <v>246.83</v>
      </c>
      <c r="H6" s="11" t="n">
        <v>20</v>
      </c>
      <c r="I6" s="11" t="n">
        <v>29.4</v>
      </c>
      <c r="J6" t="inlineStr">
        <is>
          <t>Delivered</t>
        </is>
      </c>
      <c r="K6" t="inlineStr">
        <is>
          <t>Card</t>
        </is>
      </c>
      <c r="L6" t="n">
        <v>4</v>
      </c>
      <c r="M6" s="11" t="n">
        <v>0</v>
      </c>
    </row>
    <row r="7">
      <c r="A7" t="inlineStr">
        <is>
          <t>ORD-1015</t>
        </is>
      </c>
      <c r="B7" s="10" t="n">
        <v>46025</v>
      </c>
      <c r="C7" t="inlineStr">
        <is>
          <t>CUST-015</t>
        </is>
      </c>
      <c r="D7" t="inlineStr">
        <is>
          <t>Northern</t>
        </is>
      </c>
      <c r="E7" t="inlineStr">
        <is>
          <t>Electronics Accessories</t>
        </is>
      </c>
      <c r="F7" s="11" t="n">
        <v>804.15</v>
      </c>
      <c r="G7" s="11" t="n">
        <v>549</v>
      </c>
      <c r="H7" s="11" t="n">
        <v>30</v>
      </c>
      <c r="I7" s="11" t="n">
        <v>42.36</v>
      </c>
      <c r="J7" t="inlineStr">
        <is>
          <t>Delivered</t>
        </is>
      </c>
      <c r="K7" t="inlineStr">
        <is>
          <t>Cash on Delivery</t>
        </is>
      </c>
      <c r="L7" t="n">
        <v>4</v>
      </c>
      <c r="M7" s="11" t="n">
        <v>0</v>
      </c>
    </row>
    <row r="8">
      <c r="A8" t="inlineStr">
        <is>
          <t>ORD-1088</t>
        </is>
      </c>
      <c r="B8" s="10" t="n">
        <v>46031</v>
      </c>
      <c r="C8" t="inlineStr">
        <is>
          <t>CUST-075</t>
        </is>
      </c>
      <c r="D8" t="inlineStr">
        <is>
          <t>Central</t>
        </is>
      </c>
      <c r="E8" t="inlineStr">
        <is>
          <t>Home &amp; Kitchen</t>
        </is>
      </c>
      <c r="F8" s="11" t="n">
        <v>128.85</v>
      </c>
      <c r="G8" s="11" t="n">
        <v>77.79000000000001</v>
      </c>
      <c r="H8" s="11" t="n">
        <v>20</v>
      </c>
      <c r="I8" s="11" t="n">
        <v>34.47</v>
      </c>
      <c r="J8" t="inlineStr">
        <is>
          <t>Delivered</t>
        </is>
      </c>
      <c r="K8" t="inlineStr">
        <is>
          <t>Mobile Money</t>
        </is>
      </c>
      <c r="L8" t="n">
        <v>3</v>
      </c>
      <c r="M8" s="11" t="n">
        <v>0</v>
      </c>
    </row>
    <row r="9">
      <c r="A9" t="inlineStr">
        <is>
          <t>ORD-1094</t>
        </is>
      </c>
      <c r="B9" s="10" t="n">
        <v>46032</v>
      </c>
      <c r="C9" t="inlineStr">
        <is>
          <t>CUST-039</t>
        </is>
      </c>
      <c r="D9" t="inlineStr">
        <is>
          <t>Eastern</t>
        </is>
      </c>
      <c r="E9" t="inlineStr">
        <is>
          <t>Small Appliances</t>
        </is>
      </c>
      <c r="F9" s="11" t="n">
        <v>306.76</v>
      </c>
      <c r="G9" s="11" t="n">
        <v>197.02</v>
      </c>
      <c r="H9" s="11" t="n">
        <v>30</v>
      </c>
      <c r="I9" s="11" t="n">
        <v>37.36</v>
      </c>
      <c r="J9" t="inlineStr">
        <is>
          <t>Delivered</t>
        </is>
      </c>
      <c r="K9" t="inlineStr">
        <is>
          <t>Cash on Delivery</t>
        </is>
      </c>
      <c r="L9" t="n">
        <v>3</v>
      </c>
      <c r="M9" s="11" t="n">
        <v>0</v>
      </c>
    </row>
    <row r="10">
      <c r="A10" t="inlineStr">
        <is>
          <t>ORD-1127</t>
        </is>
      </c>
      <c r="B10" s="10" t="n">
        <v>46033</v>
      </c>
      <c r="C10" t="inlineStr">
        <is>
          <t>CUST-058</t>
        </is>
      </c>
      <c r="D10" t="inlineStr">
        <is>
          <t>Central</t>
        </is>
      </c>
      <c r="E10" t="inlineStr">
        <is>
          <t>Small Appliances</t>
        </is>
      </c>
      <c r="F10" s="11" t="n">
        <v>921.74</v>
      </c>
      <c r="G10" s="11" t="n">
        <v>584.28</v>
      </c>
      <c r="H10" s="11" t="n">
        <v>30</v>
      </c>
      <c r="I10" s="11" t="n">
        <v>41.76</v>
      </c>
      <c r="J10" t="inlineStr">
        <is>
          <t>Delivered</t>
        </is>
      </c>
      <c r="K10" t="inlineStr">
        <is>
          <t>Mobile Money</t>
        </is>
      </c>
      <c r="L10" t="n">
        <v>3</v>
      </c>
      <c r="M10" s="11" t="n">
        <v>0</v>
      </c>
    </row>
    <row r="11">
      <c r="A11" t="inlineStr">
        <is>
          <t>ORD-1151</t>
        </is>
      </c>
      <c r="B11" s="10" t="n">
        <v>46033</v>
      </c>
      <c r="C11" t="inlineStr">
        <is>
          <t>CUST-041</t>
        </is>
      </c>
      <c r="D11" t="inlineStr">
        <is>
          <t>Central</t>
        </is>
      </c>
      <c r="E11" t="inlineStr">
        <is>
          <t>Small Appliances</t>
        </is>
      </c>
      <c r="F11" s="11" t="n">
        <v>845.77</v>
      </c>
      <c r="G11" s="11" t="n">
        <v>658.04</v>
      </c>
      <c r="H11" s="11" t="n">
        <v>30</v>
      </c>
      <c r="I11" s="11" t="n">
        <v>41.73</v>
      </c>
      <c r="J11" t="inlineStr">
        <is>
          <t>Delivered</t>
        </is>
      </c>
      <c r="K11" t="inlineStr">
        <is>
          <t>Cash on Delivery</t>
        </is>
      </c>
      <c r="L11" t="n">
        <v>3</v>
      </c>
      <c r="M11" s="11" t="n">
        <v>0</v>
      </c>
    </row>
    <row r="12">
      <c r="A12" t="inlineStr">
        <is>
          <t>ORD-1014</t>
        </is>
      </c>
      <c r="B12" s="10" t="n">
        <v>46034</v>
      </c>
      <c r="C12" t="inlineStr">
        <is>
          <t>CUST-001</t>
        </is>
      </c>
      <c r="D12" t="inlineStr">
        <is>
          <t>Northern</t>
        </is>
      </c>
      <c r="E12" t="inlineStr">
        <is>
          <t>Home &amp; Kitchen</t>
        </is>
      </c>
      <c r="F12" s="11" t="n">
        <v>128.49</v>
      </c>
      <c r="G12" s="11" t="n">
        <v>79.2</v>
      </c>
      <c r="H12" s="11" t="n">
        <v>15</v>
      </c>
      <c r="I12" s="11" t="n">
        <v>34.41</v>
      </c>
      <c r="J12" t="inlineStr">
        <is>
          <t>Delivered</t>
        </is>
      </c>
      <c r="K12" t="inlineStr">
        <is>
          <t>Mobile Money</t>
        </is>
      </c>
      <c r="L12" t="n">
        <v>3</v>
      </c>
      <c r="M12" s="11" t="n">
        <v>0</v>
      </c>
    </row>
    <row r="13">
      <c r="A13" t="inlineStr">
        <is>
          <t>ORD-1086</t>
        </is>
      </c>
      <c r="B13" s="10" t="n">
        <v>46035</v>
      </c>
      <c r="C13" t="inlineStr">
        <is>
          <t>CUST-078</t>
        </is>
      </c>
      <c r="D13" t="inlineStr">
        <is>
          <t>Ashanti</t>
        </is>
      </c>
      <c r="E13" t="inlineStr">
        <is>
          <t>Stationery</t>
        </is>
      </c>
      <c r="F13" s="11" t="n">
        <v>152.42</v>
      </c>
      <c r="G13" s="11" t="n">
        <v>78.12</v>
      </c>
      <c r="H13" s="11" t="n">
        <v>15</v>
      </c>
      <c r="I13" s="11" t="n">
        <v>26.07</v>
      </c>
      <c r="J13" t="inlineStr">
        <is>
          <t>Delivered</t>
        </is>
      </c>
      <c r="K13" t="inlineStr">
        <is>
          <t>Cash on Delivery</t>
        </is>
      </c>
      <c r="L13" t="n">
        <v>2</v>
      </c>
      <c r="M13" s="11" t="n">
        <v>0</v>
      </c>
    </row>
    <row r="14">
      <c r="A14" t="inlineStr">
        <is>
          <t>ORD-1001</t>
        </is>
      </c>
      <c r="B14" s="10" t="n">
        <v>46036</v>
      </c>
      <c r="C14" t="inlineStr">
        <is>
          <t>CUST-087</t>
        </is>
      </c>
      <c r="D14" t="inlineStr">
        <is>
          <t>Western</t>
        </is>
      </c>
      <c r="E14" t="inlineStr">
        <is>
          <t>Personal Care</t>
        </is>
      </c>
      <c r="F14" s="11" t="n">
        <v>202.7</v>
      </c>
      <c r="G14" s="11" t="n">
        <v>83.29000000000001</v>
      </c>
      <c r="H14" s="11" t="n">
        <v>20</v>
      </c>
      <c r="I14" s="11" t="n">
        <v>37.01</v>
      </c>
      <c r="J14" t="inlineStr">
        <is>
          <t>Delivered</t>
        </is>
      </c>
      <c r="K14" t="inlineStr">
        <is>
          <t>Mobile Money</t>
        </is>
      </c>
      <c r="L14" t="n">
        <v>4</v>
      </c>
      <c r="M14" s="11" t="n">
        <v>0</v>
      </c>
    </row>
    <row r="15">
      <c r="A15" t="inlineStr">
        <is>
          <t>ORD-1069</t>
        </is>
      </c>
      <c r="B15" s="10" t="n">
        <v>46036</v>
      </c>
      <c r="C15" t="inlineStr">
        <is>
          <t>CUST-027</t>
        </is>
      </c>
      <c r="D15" t="inlineStr">
        <is>
          <t>Greater Accra</t>
        </is>
      </c>
      <c r="E15" t="inlineStr">
        <is>
          <t>Home &amp; Kitchen</t>
        </is>
      </c>
      <c r="F15" s="11" t="n">
        <v>128.61</v>
      </c>
      <c r="G15" s="11" t="n">
        <v>63.26</v>
      </c>
      <c r="H15" s="11" t="n">
        <v>25</v>
      </c>
      <c r="I15" s="11" t="n">
        <v>28.21</v>
      </c>
      <c r="J15" t="inlineStr">
        <is>
          <t>Returned</t>
        </is>
      </c>
      <c r="K15" t="inlineStr">
        <is>
          <t>Cash on Delivery</t>
        </is>
      </c>
      <c r="L15" t="n">
        <v>2</v>
      </c>
      <c r="M15" s="11" t="n">
        <v>20.07</v>
      </c>
    </row>
    <row r="16">
      <c r="A16" t="inlineStr">
        <is>
          <t>ORD-1109</t>
        </is>
      </c>
      <c r="B16" s="10" t="n">
        <v>46036</v>
      </c>
      <c r="C16" t="inlineStr">
        <is>
          <t>CUST-037</t>
        </is>
      </c>
      <c r="D16" t="inlineStr">
        <is>
          <t>Eastern</t>
        </is>
      </c>
      <c r="E16" t="inlineStr">
        <is>
          <t>Personal Care</t>
        </is>
      </c>
      <c r="F16" s="11" t="n">
        <v>121.7</v>
      </c>
      <c r="G16" s="11" t="n">
        <v>61.34</v>
      </c>
      <c r="H16" s="11" t="n">
        <v>15</v>
      </c>
      <c r="I16" s="11" t="n">
        <v>22.55</v>
      </c>
      <c r="J16" t="inlineStr">
        <is>
          <t>Delivered</t>
        </is>
      </c>
      <c r="K16" t="inlineStr">
        <is>
          <t>Card</t>
        </is>
      </c>
      <c r="L16" t="n">
        <v>3</v>
      </c>
      <c r="M16" s="11" t="n">
        <v>0</v>
      </c>
    </row>
    <row r="17">
      <c r="A17" t="inlineStr">
        <is>
          <t>ORD-1006</t>
        </is>
      </c>
      <c r="B17" s="10" t="n">
        <v>46037</v>
      </c>
      <c r="C17" t="inlineStr">
        <is>
          <t>CUST-007</t>
        </is>
      </c>
      <c r="D17" t="inlineStr">
        <is>
          <t>Eastern</t>
        </is>
      </c>
      <c r="E17" t="inlineStr">
        <is>
          <t>Personal Care</t>
        </is>
      </c>
      <c r="F17" s="11" t="n">
        <v>163.28</v>
      </c>
      <c r="G17" s="11" t="n">
        <v>90.37</v>
      </c>
      <c r="H17" s="11" t="n">
        <v>15</v>
      </c>
      <c r="I17" s="11" t="n">
        <v>21.57</v>
      </c>
      <c r="J17" t="inlineStr">
        <is>
          <t>Delivered</t>
        </is>
      </c>
      <c r="K17" t="inlineStr">
        <is>
          <t>Card</t>
        </is>
      </c>
      <c r="L17" t="n">
        <v>2</v>
      </c>
      <c r="M17" s="11" t="n">
        <v>0</v>
      </c>
    </row>
    <row r="18">
      <c r="A18" t="inlineStr">
        <is>
          <t>ORD-1214</t>
        </is>
      </c>
      <c r="B18" s="10" t="n">
        <v>46037</v>
      </c>
      <c r="C18" t="inlineStr">
        <is>
          <t>CUST-018</t>
        </is>
      </c>
      <c r="D18" t="inlineStr">
        <is>
          <t>Northern</t>
        </is>
      </c>
      <c r="E18" t="inlineStr">
        <is>
          <t>Personal Care</t>
        </is>
      </c>
      <c r="F18" s="11" t="n">
        <v>104.55</v>
      </c>
      <c r="G18" s="11" t="n">
        <v>57.17</v>
      </c>
      <c r="H18" s="11" t="n">
        <v>30</v>
      </c>
      <c r="I18" s="11" t="n">
        <v>45.19</v>
      </c>
      <c r="J18" t="inlineStr">
        <is>
          <t>Delivered</t>
        </is>
      </c>
      <c r="K18" t="inlineStr">
        <is>
          <t>Cash on Delivery</t>
        </is>
      </c>
      <c r="L18" t="n">
        <v>5</v>
      </c>
      <c r="M18" s="11" t="n">
        <v>0</v>
      </c>
    </row>
    <row r="19">
      <c r="A19" t="inlineStr">
        <is>
          <t>ORD-1004</t>
        </is>
      </c>
      <c r="B19" s="10" t="n">
        <v>46038</v>
      </c>
      <c r="C19" t="inlineStr">
        <is>
          <t>CUST-022</t>
        </is>
      </c>
      <c r="D19" t="inlineStr">
        <is>
          <t>Central</t>
        </is>
      </c>
      <c r="E19" t="inlineStr">
        <is>
          <t>Home &amp; Kitchen</t>
        </is>
      </c>
      <c r="F19" s="11" t="n">
        <v>641.1900000000001</v>
      </c>
      <c r="G19" s="11" t="n">
        <v>312.73</v>
      </c>
      <c r="H19" s="11" t="n">
        <v>25</v>
      </c>
      <c r="I19" s="11" t="n">
        <v>34.85</v>
      </c>
      <c r="J19" t="inlineStr">
        <is>
          <t>Delivered</t>
        </is>
      </c>
      <c r="K19" t="inlineStr">
        <is>
          <t>Cash on Delivery</t>
        </is>
      </c>
      <c r="L19" t="n">
        <v>3</v>
      </c>
      <c r="M19" s="11" t="n">
        <v>0</v>
      </c>
    </row>
    <row r="20">
      <c r="A20" t="inlineStr">
        <is>
          <t>ORD-1194</t>
        </is>
      </c>
      <c r="B20" s="10" t="n">
        <v>46038</v>
      </c>
      <c r="C20" t="inlineStr">
        <is>
          <t>CUST-012</t>
        </is>
      </c>
      <c r="D20" t="inlineStr">
        <is>
          <t>Ashanti</t>
        </is>
      </c>
      <c r="E20" t="inlineStr">
        <is>
          <t>Personal Care</t>
        </is>
      </c>
      <c r="F20" s="11" t="n">
        <v>88.86</v>
      </c>
      <c r="G20" s="11" t="n">
        <v>47.36</v>
      </c>
      <c r="H20" s="11" t="n">
        <v>10</v>
      </c>
      <c r="I20" s="11" t="n">
        <v>24.13</v>
      </c>
      <c r="J20" t="inlineStr">
        <is>
          <t>Delivered</t>
        </is>
      </c>
      <c r="K20" t="inlineStr">
        <is>
          <t>Card</t>
        </is>
      </c>
      <c r="L20" t="n">
        <v>3</v>
      </c>
      <c r="M20" s="11" t="n">
        <v>0</v>
      </c>
    </row>
    <row r="21">
      <c r="A21" t="inlineStr">
        <is>
          <t>ORD-1056</t>
        </is>
      </c>
      <c r="B21" s="10" t="n">
        <v>46039</v>
      </c>
      <c r="C21" t="inlineStr">
        <is>
          <t>CUST-052</t>
        </is>
      </c>
      <c r="D21" t="inlineStr">
        <is>
          <t>Greater Accra</t>
        </is>
      </c>
      <c r="E21" t="inlineStr">
        <is>
          <t>Personal Care</t>
        </is>
      </c>
      <c r="F21" s="11" t="n">
        <v>183.68</v>
      </c>
      <c r="G21" s="11" t="n">
        <v>96.17</v>
      </c>
      <c r="H21" s="11" t="n">
        <v>15</v>
      </c>
      <c r="I21" s="11" t="n">
        <v>18.49</v>
      </c>
      <c r="J21" t="inlineStr">
        <is>
          <t>Delivered</t>
        </is>
      </c>
      <c r="K21" t="inlineStr">
        <is>
          <t>Mobile Money</t>
        </is>
      </c>
      <c r="L21" t="n">
        <v>1</v>
      </c>
      <c r="M21" s="11" t="n">
        <v>0</v>
      </c>
    </row>
    <row r="22">
      <c r="A22" t="inlineStr">
        <is>
          <t>ORD-1007</t>
        </is>
      </c>
      <c r="B22" s="10" t="n">
        <v>46040</v>
      </c>
      <c r="C22" t="inlineStr">
        <is>
          <t>CUST-077</t>
        </is>
      </c>
      <c r="D22" t="inlineStr">
        <is>
          <t>Western</t>
        </is>
      </c>
      <c r="E22" t="inlineStr">
        <is>
          <t>Electronics Accessories</t>
        </is>
      </c>
      <c r="F22" s="11" t="n">
        <v>786.6900000000001</v>
      </c>
      <c r="G22" s="11" t="n">
        <v>466.26</v>
      </c>
      <c r="H22" s="11" t="n">
        <v>30</v>
      </c>
      <c r="I22" s="11" t="n">
        <v>41.46</v>
      </c>
      <c r="J22" t="inlineStr">
        <is>
          <t>Delivered</t>
        </is>
      </c>
      <c r="K22" t="inlineStr">
        <is>
          <t>Cash on Delivery</t>
        </is>
      </c>
      <c r="L22" t="n">
        <v>3</v>
      </c>
      <c r="M22" s="11" t="n">
        <v>0</v>
      </c>
    </row>
    <row r="23">
      <c r="A23" t="inlineStr">
        <is>
          <t>ORD-1171</t>
        </is>
      </c>
      <c r="B23" s="10" t="n">
        <v>46041</v>
      </c>
      <c r="C23" t="inlineStr">
        <is>
          <t>CUST-089</t>
        </is>
      </c>
      <c r="D23" t="inlineStr">
        <is>
          <t>Greater Accra</t>
        </is>
      </c>
      <c r="E23" t="inlineStr">
        <is>
          <t>Electronics Accessories</t>
        </is>
      </c>
      <c r="F23" s="11" t="n">
        <v>440.48</v>
      </c>
      <c r="G23" s="11" t="n">
        <v>267.44</v>
      </c>
      <c r="H23" s="11" t="n">
        <v>15</v>
      </c>
      <c r="I23" s="11" t="n">
        <v>20.4</v>
      </c>
      <c r="J23" t="inlineStr">
        <is>
          <t>Delivered</t>
        </is>
      </c>
      <c r="K23" t="inlineStr">
        <is>
          <t>Card</t>
        </is>
      </c>
      <c r="L23" t="n">
        <v>2</v>
      </c>
      <c r="M23" s="11" t="n">
        <v>0</v>
      </c>
    </row>
    <row r="24">
      <c r="A24" t="inlineStr">
        <is>
          <t>ORD-1126</t>
        </is>
      </c>
      <c r="B24" s="10" t="n">
        <v>46042</v>
      </c>
      <c r="C24" t="inlineStr">
        <is>
          <t>CUST-083</t>
        </is>
      </c>
      <c r="D24" t="inlineStr">
        <is>
          <t>Northern</t>
        </is>
      </c>
      <c r="E24" t="inlineStr">
        <is>
          <t>Small Appliances</t>
        </is>
      </c>
      <c r="F24" s="11" t="n">
        <v>1304.65</v>
      </c>
      <c r="G24" s="11" t="n">
        <v>927.22</v>
      </c>
      <c r="H24" s="11" t="n">
        <v>30</v>
      </c>
      <c r="I24" s="11" t="n">
        <v>45.84</v>
      </c>
      <c r="J24" t="inlineStr">
        <is>
          <t>Delivered</t>
        </is>
      </c>
      <c r="K24" t="inlineStr">
        <is>
          <t>Bank Transfer</t>
        </is>
      </c>
      <c r="L24" t="n">
        <v>3</v>
      </c>
      <c r="M24" s="11" t="n">
        <v>0</v>
      </c>
    </row>
    <row r="25">
      <c r="A25" t="inlineStr">
        <is>
          <t>ORD-1235</t>
        </is>
      </c>
      <c r="B25" s="10" t="n">
        <v>46042</v>
      </c>
      <c r="C25" t="inlineStr">
        <is>
          <t>CUST-088</t>
        </is>
      </c>
      <c r="D25" t="inlineStr">
        <is>
          <t>Ashanti</t>
        </is>
      </c>
      <c r="E25" t="inlineStr">
        <is>
          <t>Small Appliances</t>
        </is>
      </c>
      <c r="F25" s="11" t="n">
        <v>1364.07</v>
      </c>
      <c r="G25" s="11" t="n">
        <v>956.8</v>
      </c>
      <c r="H25" s="11" t="n">
        <v>10</v>
      </c>
      <c r="I25" s="11" t="n">
        <v>16.79</v>
      </c>
      <c r="J25" t="inlineStr">
        <is>
          <t>Delivered</t>
        </is>
      </c>
      <c r="K25" t="inlineStr">
        <is>
          <t>Mobile Money</t>
        </is>
      </c>
      <c r="L25" t="n">
        <v>4</v>
      </c>
      <c r="M25" s="11" t="n">
        <v>0</v>
      </c>
    </row>
    <row r="26">
      <c r="A26" t="inlineStr">
        <is>
          <t>ORD-1245</t>
        </is>
      </c>
      <c r="B26" s="10" t="n">
        <v>46042</v>
      </c>
      <c r="C26" t="inlineStr">
        <is>
          <t>CUST-047</t>
        </is>
      </c>
      <c r="D26" t="inlineStr">
        <is>
          <t>Greater Accra</t>
        </is>
      </c>
      <c r="E26" t="inlineStr">
        <is>
          <t>Home &amp; Kitchen</t>
        </is>
      </c>
      <c r="F26" s="11" t="n">
        <v>197.95</v>
      </c>
      <c r="G26" s="11" t="n">
        <v>109.37</v>
      </c>
      <c r="H26" s="11" t="n">
        <v>30</v>
      </c>
      <c r="I26" s="11" t="n">
        <v>38.17</v>
      </c>
      <c r="J26" t="inlineStr">
        <is>
          <t>Delivered</t>
        </is>
      </c>
      <c r="K26" t="inlineStr">
        <is>
          <t>Mobile Money</t>
        </is>
      </c>
      <c r="L26" t="n">
        <v>2</v>
      </c>
      <c r="M26" s="11" t="n">
        <v>0</v>
      </c>
    </row>
    <row r="27">
      <c r="A27" t="inlineStr">
        <is>
          <t>ORD-1034</t>
        </is>
      </c>
      <c r="B27" s="10" t="n">
        <v>46043</v>
      </c>
      <c r="C27" t="inlineStr">
        <is>
          <t>CUST-018</t>
        </is>
      </c>
      <c r="D27" t="inlineStr">
        <is>
          <t>Northern</t>
        </is>
      </c>
      <c r="E27" t="inlineStr">
        <is>
          <t>Electronics Accessories</t>
        </is>
      </c>
      <c r="F27" s="11" t="n">
        <v>394.09</v>
      </c>
      <c r="G27" s="11" t="n">
        <v>215.77</v>
      </c>
      <c r="H27" s="11" t="n">
        <v>15</v>
      </c>
      <c r="I27" s="11" t="n">
        <v>27.64</v>
      </c>
      <c r="J27" t="inlineStr">
        <is>
          <t>Delivered</t>
        </is>
      </c>
      <c r="K27" t="inlineStr">
        <is>
          <t>Cash on Delivery</t>
        </is>
      </c>
      <c r="L27" t="n">
        <v>3</v>
      </c>
      <c r="M27" s="11" t="n">
        <v>0</v>
      </c>
    </row>
    <row r="28">
      <c r="A28" t="inlineStr">
        <is>
          <t>ORD-1113</t>
        </is>
      </c>
      <c r="B28" s="10" t="n">
        <v>46046</v>
      </c>
      <c r="C28" t="inlineStr">
        <is>
          <t>CUST-068</t>
        </is>
      </c>
      <c r="D28" t="inlineStr">
        <is>
          <t>Greater Accra</t>
        </is>
      </c>
      <c r="E28" t="inlineStr">
        <is>
          <t>Electronics Accessories</t>
        </is>
      </c>
      <c r="F28" s="11" t="n">
        <v>424.26</v>
      </c>
      <c r="G28" s="11" t="n">
        <v>246.65</v>
      </c>
      <c r="H28" s="11" t="n">
        <v>20</v>
      </c>
      <c r="I28" s="11" t="n">
        <v>25.12</v>
      </c>
      <c r="J28" t="inlineStr">
        <is>
          <t>Delivered</t>
        </is>
      </c>
      <c r="K28" t="inlineStr">
        <is>
          <t>Bank Transfer</t>
        </is>
      </c>
      <c r="L28" t="n">
        <v>2</v>
      </c>
      <c r="M28" s="11" t="n">
        <v>0</v>
      </c>
    </row>
    <row r="29">
      <c r="A29" t="inlineStr">
        <is>
          <t>ORD-1010</t>
        </is>
      </c>
      <c r="B29" s="10" t="n">
        <v>46048</v>
      </c>
      <c r="C29" t="inlineStr">
        <is>
          <t>CUST-010</t>
        </is>
      </c>
      <c r="D29" t="inlineStr">
        <is>
          <t>Greater Accra</t>
        </is>
      </c>
      <c r="E29" t="inlineStr">
        <is>
          <t>Personal Care</t>
        </is>
      </c>
      <c r="F29" s="11" t="n">
        <v>164.12</v>
      </c>
      <c r="G29" s="11" t="n">
        <v>69.56</v>
      </c>
      <c r="H29" s="11" t="n">
        <v>20</v>
      </c>
      <c r="I29" s="11" t="n">
        <v>30.81</v>
      </c>
      <c r="J29" t="inlineStr">
        <is>
          <t>Delivered</t>
        </is>
      </c>
      <c r="K29" t="inlineStr">
        <is>
          <t>Mobile Money</t>
        </is>
      </c>
      <c r="L29" t="n">
        <v>1</v>
      </c>
      <c r="M29" s="11" t="n">
        <v>0</v>
      </c>
    </row>
    <row r="30">
      <c r="A30" t="inlineStr">
        <is>
          <t>ORD-1080</t>
        </is>
      </c>
      <c r="B30" s="10" t="n">
        <v>46048</v>
      </c>
      <c r="C30" t="inlineStr">
        <is>
          <t>CUST-057</t>
        </is>
      </c>
      <c r="D30" t="inlineStr">
        <is>
          <t>Greater Accra</t>
        </is>
      </c>
      <c r="E30" t="inlineStr">
        <is>
          <t>Electronics Accessories</t>
        </is>
      </c>
      <c r="F30" s="11" t="n">
        <v>325.56</v>
      </c>
      <c r="G30" s="11" t="n">
        <v>170.99</v>
      </c>
      <c r="H30" s="11" t="n">
        <v>20</v>
      </c>
      <c r="I30" s="11" t="n">
        <v>29.96</v>
      </c>
      <c r="J30" t="inlineStr">
        <is>
          <t>Delivered</t>
        </is>
      </c>
      <c r="K30" t="inlineStr">
        <is>
          <t>Mobile Money</t>
        </is>
      </c>
      <c r="L30" t="n">
        <v>1</v>
      </c>
      <c r="M30" s="11" t="n">
        <v>0</v>
      </c>
    </row>
    <row r="31">
      <c r="A31" t="inlineStr">
        <is>
          <t>ORD-1017</t>
        </is>
      </c>
      <c r="B31" s="10" t="n">
        <v>46049</v>
      </c>
      <c r="C31" t="inlineStr">
        <is>
          <t>CUST-046</t>
        </is>
      </c>
      <c r="D31" t="inlineStr">
        <is>
          <t>Greater Accra</t>
        </is>
      </c>
      <c r="E31" t="inlineStr">
        <is>
          <t>Stationery</t>
        </is>
      </c>
      <c r="F31" s="11" t="n">
        <v>160.88</v>
      </c>
      <c r="G31" s="11" t="n">
        <v>68.08</v>
      </c>
      <c r="H31" s="11" t="n">
        <v>30</v>
      </c>
      <c r="I31" s="11" t="n">
        <v>39.49</v>
      </c>
      <c r="J31" t="inlineStr">
        <is>
          <t>Failed</t>
        </is>
      </c>
      <c r="K31" t="inlineStr">
        <is>
          <t>Mobile Money</t>
        </is>
      </c>
      <c r="L31" t="n">
        <v>4</v>
      </c>
      <c r="M31" s="11" t="n">
        <v>24.6</v>
      </c>
    </row>
    <row r="32">
      <c r="A32" t="inlineStr">
        <is>
          <t>ORD-1128</t>
        </is>
      </c>
      <c r="B32" s="10" t="n">
        <v>46049</v>
      </c>
      <c r="C32" t="inlineStr">
        <is>
          <t>CUST-044</t>
        </is>
      </c>
      <c r="D32" t="inlineStr">
        <is>
          <t>Greater Accra</t>
        </is>
      </c>
      <c r="E32" t="inlineStr">
        <is>
          <t>Small Appliances</t>
        </is>
      </c>
      <c r="F32" s="11" t="n">
        <v>263.84</v>
      </c>
      <c r="G32" s="11" t="n">
        <v>188.99</v>
      </c>
      <c r="H32" s="11" t="n">
        <v>10</v>
      </c>
      <c r="I32" s="11" t="n">
        <v>14.48</v>
      </c>
      <c r="J32" t="inlineStr">
        <is>
          <t>Delivered</t>
        </is>
      </c>
      <c r="K32" t="inlineStr">
        <is>
          <t>Mobile Money</t>
        </is>
      </c>
      <c r="L32" t="n">
        <v>2</v>
      </c>
      <c r="M32" s="11" t="n">
        <v>0</v>
      </c>
    </row>
    <row r="33">
      <c r="A33" t="inlineStr">
        <is>
          <t>ORD-1196</t>
        </is>
      </c>
      <c r="B33" s="10" t="n">
        <v>46050</v>
      </c>
      <c r="C33" t="inlineStr">
        <is>
          <t>CUST-043</t>
        </is>
      </c>
      <c r="D33" t="inlineStr">
        <is>
          <t>Greater Accra</t>
        </is>
      </c>
      <c r="E33" t="inlineStr">
        <is>
          <t>Home &amp; Kitchen</t>
        </is>
      </c>
      <c r="F33" s="11" t="n">
        <v>643.46</v>
      </c>
      <c r="G33" s="11" t="n">
        <v>346.05</v>
      </c>
      <c r="H33" s="11" t="n">
        <v>25</v>
      </c>
      <c r="I33" s="11" t="n">
        <v>35.89</v>
      </c>
      <c r="J33" t="inlineStr">
        <is>
          <t>Delivered</t>
        </is>
      </c>
      <c r="K33" t="inlineStr">
        <is>
          <t>Cash on Delivery</t>
        </is>
      </c>
      <c r="L33" t="n">
        <v>4</v>
      </c>
      <c r="M33" s="11" t="n">
        <v>0</v>
      </c>
    </row>
    <row r="34">
      <c r="A34" t="inlineStr">
        <is>
          <t>ORD-1241</t>
        </is>
      </c>
      <c r="B34" s="10" t="n">
        <v>46050</v>
      </c>
      <c r="C34" t="inlineStr">
        <is>
          <t>CUST-012</t>
        </is>
      </c>
      <c r="D34" t="inlineStr">
        <is>
          <t>Ashanti</t>
        </is>
      </c>
      <c r="E34" t="inlineStr">
        <is>
          <t>Electronics Accessories</t>
        </is>
      </c>
      <c r="F34" s="11" t="n">
        <v>332.78</v>
      </c>
      <c r="G34" s="11" t="n">
        <v>194.6</v>
      </c>
      <c r="H34" s="11" t="n">
        <v>20</v>
      </c>
      <c r="I34" s="11" t="n">
        <v>26.02</v>
      </c>
      <c r="J34" t="inlineStr">
        <is>
          <t>Delivered</t>
        </is>
      </c>
      <c r="K34" t="inlineStr">
        <is>
          <t>Mobile Money</t>
        </is>
      </c>
      <c r="L34" t="n">
        <v>3</v>
      </c>
      <c r="M34" s="11" t="n">
        <v>0</v>
      </c>
    </row>
    <row r="35">
      <c r="A35" t="inlineStr">
        <is>
          <t>ORD-1212</t>
        </is>
      </c>
      <c r="B35" s="10" t="n">
        <v>46051</v>
      </c>
      <c r="C35" t="inlineStr">
        <is>
          <t>CUST-005</t>
        </is>
      </c>
      <c r="D35" t="inlineStr">
        <is>
          <t>Central</t>
        </is>
      </c>
      <c r="E35" t="inlineStr">
        <is>
          <t>Stationery</t>
        </is>
      </c>
      <c r="F35" s="11" t="n">
        <v>84.17</v>
      </c>
      <c r="G35" s="11" t="n">
        <v>41.07</v>
      </c>
      <c r="H35" s="11" t="n">
        <v>10</v>
      </c>
      <c r="I35" s="11" t="n">
        <v>19.41</v>
      </c>
      <c r="J35" t="inlineStr">
        <is>
          <t>Delivered</t>
        </is>
      </c>
      <c r="K35" t="inlineStr">
        <is>
          <t>Cash on Delivery</t>
        </is>
      </c>
      <c r="L35" t="n">
        <v>2</v>
      </c>
      <c r="M35" s="11" t="n">
        <v>0</v>
      </c>
    </row>
    <row r="36">
      <c r="A36" t="inlineStr">
        <is>
          <t>ORD-1031</t>
        </is>
      </c>
      <c r="B36" s="10" t="n">
        <v>46054</v>
      </c>
      <c r="C36" t="inlineStr">
        <is>
          <t>CUST-059</t>
        </is>
      </c>
      <c r="D36" t="inlineStr">
        <is>
          <t>Greater Accra</t>
        </is>
      </c>
      <c r="E36" t="inlineStr">
        <is>
          <t>Electronics Accessories</t>
        </is>
      </c>
      <c r="F36" s="11" t="n">
        <v>461.01</v>
      </c>
      <c r="G36" s="11" t="n">
        <v>283.8</v>
      </c>
      <c r="H36" s="11" t="n">
        <v>30</v>
      </c>
      <c r="I36" s="11" t="n">
        <v>37.95</v>
      </c>
      <c r="J36" t="inlineStr">
        <is>
          <t>Failed</t>
        </is>
      </c>
      <c r="K36" t="inlineStr">
        <is>
          <t>Card</t>
        </is>
      </c>
      <c r="L36" t="n">
        <v>8</v>
      </c>
      <c r="M36" s="11" t="n">
        <v>22.12</v>
      </c>
    </row>
    <row r="37">
      <c r="A37" t="inlineStr">
        <is>
          <t>ORD-1140</t>
        </is>
      </c>
      <c r="B37" s="10" t="n">
        <v>46054</v>
      </c>
      <c r="C37" t="inlineStr">
        <is>
          <t>CUST-037</t>
        </is>
      </c>
      <c r="D37" t="inlineStr">
        <is>
          <t>Eastern</t>
        </is>
      </c>
      <c r="E37" t="inlineStr">
        <is>
          <t>Electronics Accessories</t>
        </is>
      </c>
      <c r="F37" s="11" t="n">
        <v>211.46</v>
      </c>
      <c r="G37" s="11" t="n">
        <v>127.06</v>
      </c>
      <c r="H37" s="11" t="n">
        <v>30</v>
      </c>
      <c r="I37" s="11" t="n">
        <v>37.47</v>
      </c>
      <c r="J37" t="inlineStr">
        <is>
          <t>Delivered</t>
        </is>
      </c>
      <c r="K37" t="inlineStr">
        <is>
          <t>Bank Transfer</t>
        </is>
      </c>
      <c r="L37" t="n">
        <v>1</v>
      </c>
      <c r="M37" s="11" t="n">
        <v>0</v>
      </c>
    </row>
    <row r="38">
      <c r="A38" t="inlineStr">
        <is>
          <t>ORD-1167</t>
        </is>
      </c>
      <c r="B38" s="10" t="n">
        <v>46054</v>
      </c>
      <c r="C38" t="inlineStr">
        <is>
          <t>CUST-067</t>
        </is>
      </c>
      <c r="D38" t="inlineStr">
        <is>
          <t>Greater Accra</t>
        </is>
      </c>
      <c r="E38" t="inlineStr">
        <is>
          <t>Electronics Accessories</t>
        </is>
      </c>
      <c r="F38" s="11" t="n">
        <v>215.02</v>
      </c>
      <c r="G38" s="11" t="n">
        <v>124.3</v>
      </c>
      <c r="H38" s="11" t="n">
        <v>15</v>
      </c>
      <c r="I38" s="11" t="n">
        <v>20.46</v>
      </c>
      <c r="J38" t="inlineStr">
        <is>
          <t>Failed</t>
        </is>
      </c>
      <c r="K38" t="inlineStr">
        <is>
          <t>Card</t>
        </is>
      </c>
      <c r="L38" t="n">
        <v>3</v>
      </c>
      <c r="M38" s="11" t="n">
        <v>12.26</v>
      </c>
    </row>
    <row r="39">
      <c r="A39" t="inlineStr">
        <is>
          <t>ORD-1009</t>
        </is>
      </c>
      <c r="B39" s="10" t="n">
        <v>46056</v>
      </c>
      <c r="C39" t="inlineStr">
        <is>
          <t>CUST-086</t>
        </is>
      </c>
      <c r="D39" t="inlineStr">
        <is>
          <t>Greater Accra</t>
        </is>
      </c>
      <c r="E39" t="inlineStr">
        <is>
          <t>Personal Care</t>
        </is>
      </c>
      <c r="F39" s="11" t="n">
        <v>150.74</v>
      </c>
      <c r="G39" s="11" t="n">
        <v>85.5</v>
      </c>
      <c r="H39" s="11" t="n">
        <v>10</v>
      </c>
      <c r="I39" s="11" t="n">
        <v>12.09</v>
      </c>
      <c r="J39" t="inlineStr">
        <is>
          <t>Delivered</t>
        </is>
      </c>
      <c r="K39" t="inlineStr">
        <is>
          <t>Cash on Delivery</t>
        </is>
      </c>
      <c r="L39" t="n">
        <v>2</v>
      </c>
      <c r="M39" s="11" t="n">
        <v>0</v>
      </c>
    </row>
    <row r="40">
      <c r="A40" t="inlineStr">
        <is>
          <t>ORD-1100</t>
        </is>
      </c>
      <c r="B40" s="10" t="n">
        <v>46056</v>
      </c>
      <c r="C40" t="inlineStr">
        <is>
          <t>CUST-070</t>
        </is>
      </c>
      <c r="D40" t="inlineStr">
        <is>
          <t>Greater Accra</t>
        </is>
      </c>
      <c r="E40" t="inlineStr">
        <is>
          <t>Home &amp; Kitchen</t>
        </is>
      </c>
      <c r="F40" s="11" t="n">
        <v>154.7</v>
      </c>
      <c r="G40" s="11" t="n">
        <v>86.48</v>
      </c>
      <c r="H40" s="11" t="n">
        <v>10</v>
      </c>
      <c r="I40" s="11" t="n">
        <v>13.32</v>
      </c>
      <c r="J40" t="inlineStr">
        <is>
          <t>Delivered</t>
        </is>
      </c>
      <c r="K40" t="inlineStr">
        <is>
          <t>Card</t>
        </is>
      </c>
      <c r="L40" t="n">
        <v>1</v>
      </c>
      <c r="M40" s="11" t="n">
        <v>0</v>
      </c>
    </row>
    <row r="41">
      <c r="A41" t="inlineStr">
        <is>
          <t>ORD-1108</t>
        </is>
      </c>
      <c r="B41" s="10" t="n">
        <v>46056</v>
      </c>
      <c r="C41" t="inlineStr">
        <is>
          <t>CUST-072</t>
        </is>
      </c>
      <c r="D41" t="inlineStr">
        <is>
          <t>Western</t>
        </is>
      </c>
      <c r="E41" t="inlineStr">
        <is>
          <t>Electronics Accessories</t>
        </is>
      </c>
      <c r="F41" s="11" t="n">
        <v>864.4299999999999</v>
      </c>
      <c r="G41" s="11" t="n">
        <v>536.9</v>
      </c>
      <c r="H41" s="11" t="n">
        <v>10</v>
      </c>
      <c r="I41" s="11" t="n">
        <v>23.11</v>
      </c>
      <c r="J41" t="inlineStr">
        <is>
          <t>Failed</t>
        </is>
      </c>
      <c r="K41" t="inlineStr">
        <is>
          <t>Bank Transfer</t>
        </is>
      </c>
      <c r="L41" t="n">
        <v>8</v>
      </c>
      <c r="M41" s="11" t="n">
        <v>22.76</v>
      </c>
    </row>
    <row r="42">
      <c r="A42" t="inlineStr">
        <is>
          <t>ORD-1132</t>
        </is>
      </c>
      <c r="B42" s="10" t="n">
        <v>46056</v>
      </c>
      <c r="C42" t="inlineStr">
        <is>
          <t>CUST-077</t>
        </is>
      </c>
      <c r="D42" t="inlineStr">
        <is>
          <t>Western</t>
        </is>
      </c>
      <c r="E42" t="inlineStr">
        <is>
          <t>Stationery</t>
        </is>
      </c>
      <c r="F42" s="11" t="n">
        <v>28.98</v>
      </c>
      <c r="G42" s="11" t="n">
        <v>13.06</v>
      </c>
      <c r="H42" s="11" t="n">
        <v>20</v>
      </c>
      <c r="I42" s="11" t="n">
        <v>37.13</v>
      </c>
      <c r="J42" t="inlineStr">
        <is>
          <t>Delivered</t>
        </is>
      </c>
      <c r="K42" t="inlineStr">
        <is>
          <t>Card</t>
        </is>
      </c>
      <c r="L42" t="n">
        <v>3</v>
      </c>
      <c r="M42" s="11" t="n">
        <v>0</v>
      </c>
    </row>
    <row r="43">
      <c r="A43" t="inlineStr">
        <is>
          <t>ORD-1117</t>
        </is>
      </c>
      <c r="B43" s="10" t="n">
        <v>46058</v>
      </c>
      <c r="C43" t="inlineStr">
        <is>
          <t>CUST-033</t>
        </is>
      </c>
      <c r="D43" t="inlineStr">
        <is>
          <t>Northern</t>
        </is>
      </c>
      <c r="E43" t="inlineStr">
        <is>
          <t>Home &amp; Kitchen</t>
        </is>
      </c>
      <c r="F43" s="11" t="n">
        <v>121.99</v>
      </c>
      <c r="G43" s="11" t="n">
        <v>64.59999999999999</v>
      </c>
      <c r="H43" s="11" t="n">
        <v>25</v>
      </c>
      <c r="I43" s="11" t="n">
        <v>38.76</v>
      </c>
      <c r="J43" t="inlineStr">
        <is>
          <t>Delivered</t>
        </is>
      </c>
      <c r="K43" t="inlineStr">
        <is>
          <t>Cash on Delivery</t>
        </is>
      </c>
      <c r="L43" t="n">
        <v>4</v>
      </c>
      <c r="M43" s="11" t="n">
        <v>0</v>
      </c>
    </row>
    <row r="44">
      <c r="A44" t="inlineStr">
        <is>
          <t>ORD-1227</t>
        </is>
      </c>
      <c r="B44" s="10" t="n">
        <v>46058</v>
      </c>
      <c r="C44" t="inlineStr">
        <is>
          <t>CUST-070</t>
        </is>
      </c>
      <c r="D44" t="inlineStr">
        <is>
          <t>Greater Accra</t>
        </is>
      </c>
      <c r="E44" t="inlineStr">
        <is>
          <t>Home &amp; Kitchen</t>
        </is>
      </c>
      <c r="F44" s="11" t="n">
        <v>600.14</v>
      </c>
      <c r="G44" s="11" t="n">
        <v>322.63</v>
      </c>
      <c r="H44" s="11" t="n">
        <v>10</v>
      </c>
      <c r="I44" s="11" t="n">
        <v>17.24</v>
      </c>
      <c r="J44" t="inlineStr">
        <is>
          <t>Delivered</t>
        </is>
      </c>
      <c r="K44" t="inlineStr">
        <is>
          <t>Mobile Money</t>
        </is>
      </c>
      <c r="L44" t="n">
        <v>1</v>
      </c>
      <c r="M44" s="11" t="n">
        <v>0</v>
      </c>
    </row>
    <row r="45">
      <c r="A45" t="inlineStr">
        <is>
          <t>ORD-1062</t>
        </is>
      </c>
      <c r="B45" s="10" t="n">
        <v>46059</v>
      </c>
      <c r="C45" t="inlineStr">
        <is>
          <t>CUST-010</t>
        </is>
      </c>
      <c r="D45" t="inlineStr">
        <is>
          <t>Greater Accra</t>
        </is>
      </c>
      <c r="E45" t="inlineStr">
        <is>
          <t>Electronics Accessories</t>
        </is>
      </c>
      <c r="F45" s="11" t="n">
        <v>729.96</v>
      </c>
      <c r="G45" s="11" t="n">
        <v>457.76</v>
      </c>
      <c r="H45" s="11" t="n">
        <v>30</v>
      </c>
      <c r="I45" s="11" t="n">
        <v>41.21</v>
      </c>
      <c r="J45" t="inlineStr">
        <is>
          <t>Delivered</t>
        </is>
      </c>
      <c r="K45" t="inlineStr">
        <is>
          <t>Mobile Money</t>
        </is>
      </c>
      <c r="L45" t="n">
        <v>2</v>
      </c>
      <c r="M45" s="11" t="n">
        <v>0</v>
      </c>
    </row>
    <row r="46">
      <c r="A46" t="inlineStr">
        <is>
          <t>ORD-1077</t>
        </is>
      </c>
      <c r="B46" s="10" t="n">
        <v>46059</v>
      </c>
      <c r="C46" t="inlineStr">
        <is>
          <t>CUST-053</t>
        </is>
      </c>
      <c r="D46" t="inlineStr">
        <is>
          <t>Greater Accra</t>
        </is>
      </c>
      <c r="E46" t="inlineStr">
        <is>
          <t>Small Appliances</t>
        </is>
      </c>
      <c r="F46" s="11" t="n">
        <v>1459.44</v>
      </c>
      <c r="G46" s="11" t="n">
        <v>895.3200000000001</v>
      </c>
      <c r="H46" s="11" t="n">
        <v>20</v>
      </c>
      <c r="I46" s="11" t="n">
        <v>25.39</v>
      </c>
      <c r="J46" t="inlineStr">
        <is>
          <t>Delivered</t>
        </is>
      </c>
      <c r="K46" t="inlineStr">
        <is>
          <t>Cash on Delivery</t>
        </is>
      </c>
      <c r="L46" t="n">
        <v>1</v>
      </c>
      <c r="M46" s="11" t="n">
        <v>0</v>
      </c>
    </row>
    <row r="47">
      <c r="A47" t="inlineStr">
        <is>
          <t>ORD-1146</t>
        </is>
      </c>
      <c r="B47" s="10" t="n">
        <v>46059</v>
      </c>
      <c r="C47" t="inlineStr">
        <is>
          <t>CUST-038</t>
        </is>
      </c>
      <c r="D47" t="inlineStr">
        <is>
          <t>Northern</t>
        </is>
      </c>
      <c r="E47" t="inlineStr">
        <is>
          <t>Home &amp; Kitchen</t>
        </is>
      </c>
      <c r="F47" s="11" t="n">
        <v>418.89</v>
      </c>
      <c r="G47" s="11" t="n">
        <v>202.45</v>
      </c>
      <c r="H47" s="11" t="n">
        <v>25</v>
      </c>
      <c r="I47" s="11" t="n">
        <v>38.87</v>
      </c>
      <c r="J47" t="inlineStr">
        <is>
          <t>Delivered</t>
        </is>
      </c>
      <c r="K47" t="inlineStr">
        <is>
          <t>Cash on Delivery</t>
        </is>
      </c>
      <c r="L47" t="n">
        <v>2</v>
      </c>
      <c r="M47" s="11" t="n">
        <v>0</v>
      </c>
    </row>
    <row r="48">
      <c r="A48" t="inlineStr">
        <is>
          <t>ORD-1218</t>
        </is>
      </c>
      <c r="B48" s="10" t="n">
        <v>46059</v>
      </c>
      <c r="C48" t="inlineStr">
        <is>
          <t>CUST-060</t>
        </is>
      </c>
      <c r="D48" t="inlineStr">
        <is>
          <t>Ashanti</t>
        </is>
      </c>
      <c r="E48" t="inlineStr">
        <is>
          <t>Small Appliances</t>
        </is>
      </c>
      <c r="F48" s="11" t="n">
        <v>909.22</v>
      </c>
      <c r="G48" s="11" t="n">
        <v>703.92</v>
      </c>
      <c r="H48" s="11" t="n">
        <v>30</v>
      </c>
      <c r="I48" s="11" t="n">
        <v>40.3</v>
      </c>
      <c r="J48" t="inlineStr">
        <is>
          <t>Delivered</t>
        </is>
      </c>
      <c r="K48" t="inlineStr">
        <is>
          <t>Mobile Money</t>
        </is>
      </c>
      <c r="L48" t="n">
        <v>2</v>
      </c>
      <c r="M48" s="11" t="n">
        <v>0</v>
      </c>
    </row>
    <row r="49">
      <c r="A49" t="inlineStr">
        <is>
          <t>ORD-1081</t>
        </is>
      </c>
      <c r="B49" s="10" t="n">
        <v>46060</v>
      </c>
      <c r="C49" t="inlineStr">
        <is>
          <t>CUST-032</t>
        </is>
      </c>
      <c r="D49" t="inlineStr">
        <is>
          <t>Central</t>
        </is>
      </c>
      <c r="E49" t="inlineStr">
        <is>
          <t>Personal Care</t>
        </is>
      </c>
      <c r="F49" s="11" t="n">
        <v>180.63</v>
      </c>
      <c r="G49" s="11" t="n">
        <v>98.02</v>
      </c>
      <c r="H49" s="11" t="n">
        <v>15</v>
      </c>
      <c r="I49" s="11" t="n">
        <v>23.75</v>
      </c>
      <c r="J49" t="inlineStr">
        <is>
          <t>Delivered</t>
        </is>
      </c>
      <c r="K49" t="inlineStr">
        <is>
          <t>Mobile Money</t>
        </is>
      </c>
      <c r="L49" t="n">
        <v>4</v>
      </c>
      <c r="M49" s="11" t="n">
        <v>0</v>
      </c>
    </row>
    <row r="50">
      <c r="A50" t="inlineStr">
        <is>
          <t>ORD-1184</t>
        </is>
      </c>
      <c r="B50" s="10" t="n">
        <v>46060</v>
      </c>
      <c r="C50" t="inlineStr">
        <is>
          <t>CUST-088</t>
        </is>
      </c>
      <c r="D50" t="inlineStr">
        <is>
          <t>Ashanti</t>
        </is>
      </c>
      <c r="E50" t="inlineStr">
        <is>
          <t>Electronics Accessories</t>
        </is>
      </c>
      <c r="F50" s="11" t="n">
        <v>549.51</v>
      </c>
      <c r="G50" s="11" t="n">
        <v>355.03</v>
      </c>
      <c r="H50" s="11" t="n">
        <v>15</v>
      </c>
      <c r="I50" s="11" t="n">
        <v>20.19</v>
      </c>
      <c r="J50" t="inlineStr">
        <is>
          <t>Delivered</t>
        </is>
      </c>
      <c r="K50" t="inlineStr">
        <is>
          <t>Mobile Money</t>
        </is>
      </c>
      <c r="L50" t="n">
        <v>5</v>
      </c>
      <c r="M50" s="11" t="n">
        <v>0</v>
      </c>
    </row>
    <row r="51">
      <c r="A51" t="inlineStr">
        <is>
          <t>ORD-1076</t>
        </is>
      </c>
      <c r="B51" s="10" t="n">
        <v>46061</v>
      </c>
      <c r="C51" t="inlineStr">
        <is>
          <t>CUST-064</t>
        </is>
      </c>
      <c r="D51" t="inlineStr">
        <is>
          <t>Central</t>
        </is>
      </c>
      <c r="E51" t="inlineStr">
        <is>
          <t>Small Appliances</t>
        </is>
      </c>
      <c r="F51" s="11" t="n">
        <v>320.43</v>
      </c>
      <c r="G51" s="11" t="n">
        <v>247.94</v>
      </c>
      <c r="H51" s="11" t="n">
        <v>20</v>
      </c>
      <c r="I51" s="11" t="n">
        <v>35.7</v>
      </c>
      <c r="J51" t="inlineStr">
        <is>
          <t>Failed</t>
        </is>
      </c>
      <c r="K51" t="inlineStr">
        <is>
          <t>Mobile Money</t>
        </is>
      </c>
      <c r="L51" t="n">
        <v>9</v>
      </c>
      <c r="M51" s="11" t="n">
        <v>8.26</v>
      </c>
    </row>
    <row r="52">
      <c r="A52" t="inlineStr">
        <is>
          <t>ORD-1144</t>
        </is>
      </c>
      <c r="B52" s="10" t="n">
        <v>46061</v>
      </c>
      <c r="C52" t="inlineStr">
        <is>
          <t>CUST-071</t>
        </is>
      </c>
      <c r="D52" t="inlineStr">
        <is>
          <t>Greater Accra</t>
        </is>
      </c>
      <c r="E52" t="inlineStr">
        <is>
          <t>Small Appliances</t>
        </is>
      </c>
      <c r="F52" s="11" t="n">
        <v>971.99</v>
      </c>
      <c r="G52" s="11" t="n">
        <v>657.25</v>
      </c>
      <c r="H52" s="11" t="n">
        <v>20</v>
      </c>
      <c r="I52" s="11" t="n">
        <v>24.38</v>
      </c>
      <c r="J52" t="inlineStr">
        <is>
          <t>Delivered</t>
        </is>
      </c>
      <c r="K52" t="inlineStr">
        <is>
          <t>Mobile Money</t>
        </is>
      </c>
      <c r="L52" t="n">
        <v>1</v>
      </c>
      <c r="M52" s="11" t="n">
        <v>0</v>
      </c>
    </row>
    <row r="53">
      <c r="A53" t="inlineStr">
        <is>
          <t>ORD-1107</t>
        </is>
      </c>
      <c r="B53" s="10" t="n">
        <v>46062</v>
      </c>
      <c r="C53" t="inlineStr">
        <is>
          <t>CUST-088</t>
        </is>
      </c>
      <c r="D53" t="inlineStr">
        <is>
          <t>Ashanti</t>
        </is>
      </c>
      <c r="E53" t="inlineStr">
        <is>
          <t>Small Appliances</t>
        </is>
      </c>
      <c r="F53" s="11" t="n">
        <v>240.63</v>
      </c>
      <c r="G53" s="11" t="n">
        <v>180.4</v>
      </c>
      <c r="H53" s="11" t="n">
        <v>10</v>
      </c>
      <c r="I53" s="11" t="n">
        <v>19.32</v>
      </c>
      <c r="J53" t="inlineStr">
        <is>
          <t>Delivered</t>
        </is>
      </c>
      <c r="K53" t="inlineStr">
        <is>
          <t>Mobile Money</t>
        </is>
      </c>
      <c r="L53" t="n">
        <v>4</v>
      </c>
      <c r="M53" s="11" t="n">
        <v>0</v>
      </c>
    </row>
    <row r="54">
      <c r="A54" t="inlineStr">
        <is>
          <t>ORD-1123</t>
        </is>
      </c>
      <c r="B54" s="10" t="n">
        <v>46062</v>
      </c>
      <c r="C54" t="inlineStr">
        <is>
          <t>CUST-084</t>
        </is>
      </c>
      <c r="D54" t="inlineStr">
        <is>
          <t>Eastern</t>
        </is>
      </c>
      <c r="E54" t="inlineStr">
        <is>
          <t>Electronics Accessories</t>
        </is>
      </c>
      <c r="F54" s="11" t="n">
        <v>860.0599999999999</v>
      </c>
      <c r="G54" s="11" t="n">
        <v>544.4400000000001</v>
      </c>
      <c r="H54" s="11" t="n">
        <v>25</v>
      </c>
      <c r="I54" s="11" t="n">
        <v>38.54</v>
      </c>
      <c r="J54" t="inlineStr">
        <is>
          <t>Delivered</t>
        </is>
      </c>
      <c r="K54" t="inlineStr">
        <is>
          <t>Mobile Money</t>
        </is>
      </c>
      <c r="L54" t="n">
        <v>1</v>
      </c>
      <c r="M54" s="11" t="n">
        <v>0</v>
      </c>
    </row>
    <row r="55">
      <c r="A55" t="inlineStr">
        <is>
          <t>ORD-1169</t>
        </is>
      </c>
      <c r="B55" s="10" t="n">
        <v>46062</v>
      </c>
      <c r="C55" t="inlineStr">
        <is>
          <t>CUST-022</t>
        </is>
      </c>
      <c r="D55" t="inlineStr">
        <is>
          <t>Central</t>
        </is>
      </c>
      <c r="E55" t="inlineStr">
        <is>
          <t>Personal Care</t>
        </is>
      </c>
      <c r="F55" s="11" t="n">
        <v>223.17</v>
      </c>
      <c r="G55" s="11" t="n">
        <v>113.58</v>
      </c>
      <c r="H55" s="11" t="n">
        <v>30</v>
      </c>
      <c r="I55" s="11" t="n">
        <v>37.41</v>
      </c>
      <c r="J55" t="inlineStr">
        <is>
          <t>Failed</t>
        </is>
      </c>
      <c r="K55" t="inlineStr">
        <is>
          <t>Mobile Money</t>
        </is>
      </c>
      <c r="L55" t="n">
        <v>6</v>
      </c>
      <c r="M55" s="11" t="n">
        <v>19.07</v>
      </c>
    </row>
    <row r="56">
      <c r="A56" t="inlineStr">
        <is>
          <t>ORD-1011</t>
        </is>
      </c>
      <c r="B56" s="10" t="n">
        <v>46063</v>
      </c>
      <c r="C56" t="inlineStr">
        <is>
          <t>CUST-057</t>
        </is>
      </c>
      <c r="D56" t="inlineStr">
        <is>
          <t>Greater Accra</t>
        </is>
      </c>
      <c r="E56" t="inlineStr">
        <is>
          <t>Stationery</t>
        </is>
      </c>
      <c r="F56" s="11" t="n">
        <v>131.08</v>
      </c>
      <c r="G56" s="11" t="n">
        <v>60.31</v>
      </c>
      <c r="H56" s="11" t="n">
        <v>30</v>
      </c>
      <c r="I56" s="11" t="n">
        <v>32.08</v>
      </c>
      <c r="J56" t="inlineStr">
        <is>
          <t>Delivered</t>
        </is>
      </c>
      <c r="K56" t="inlineStr">
        <is>
          <t>Mobile Money</t>
        </is>
      </c>
      <c r="L56" t="n">
        <v>2</v>
      </c>
      <c r="M56" s="11" t="n">
        <v>0</v>
      </c>
    </row>
    <row r="57">
      <c r="A57" t="inlineStr">
        <is>
          <t>ORD-1193</t>
        </is>
      </c>
      <c r="B57" s="10" t="n">
        <v>46063</v>
      </c>
      <c r="C57" t="inlineStr">
        <is>
          <t>CUST-053</t>
        </is>
      </c>
      <c r="D57" t="inlineStr">
        <is>
          <t>Greater Accra</t>
        </is>
      </c>
      <c r="E57" t="inlineStr">
        <is>
          <t>Personal Care</t>
        </is>
      </c>
      <c r="F57" s="11" t="n">
        <v>267.18</v>
      </c>
      <c r="G57" s="11" t="n">
        <v>129.75</v>
      </c>
      <c r="H57" s="11" t="n">
        <v>15</v>
      </c>
      <c r="I57" s="11" t="n">
        <v>24.56</v>
      </c>
      <c r="J57" t="inlineStr">
        <is>
          <t>Delivered</t>
        </is>
      </c>
      <c r="K57" t="inlineStr">
        <is>
          <t>Mobile Money</t>
        </is>
      </c>
      <c r="L57" t="n">
        <v>3</v>
      </c>
      <c r="M57" s="11" t="n">
        <v>0</v>
      </c>
    </row>
    <row r="58">
      <c r="A58" t="inlineStr">
        <is>
          <t>ORD-1244</t>
        </is>
      </c>
      <c r="B58" s="10" t="n">
        <v>46066</v>
      </c>
      <c r="C58" t="inlineStr">
        <is>
          <t>CUST-018</t>
        </is>
      </c>
      <c r="D58" t="inlineStr">
        <is>
          <t>Northern</t>
        </is>
      </c>
      <c r="E58" t="inlineStr">
        <is>
          <t>Home &amp; Kitchen</t>
        </is>
      </c>
      <c r="F58" s="11" t="n">
        <v>211.04</v>
      </c>
      <c r="G58" s="11" t="n">
        <v>98.40000000000001</v>
      </c>
      <c r="H58" s="11" t="n">
        <v>15</v>
      </c>
      <c r="I58" s="11" t="n">
        <v>31.35</v>
      </c>
      <c r="J58" t="inlineStr">
        <is>
          <t>Delivered</t>
        </is>
      </c>
      <c r="K58" t="inlineStr">
        <is>
          <t>Cash on Delivery</t>
        </is>
      </c>
      <c r="L58" t="n">
        <v>8</v>
      </c>
      <c r="M58" s="11" t="n">
        <v>0</v>
      </c>
    </row>
    <row r="59">
      <c r="A59" t="inlineStr">
        <is>
          <t>ORD-1018</t>
        </is>
      </c>
      <c r="B59" s="10" t="n">
        <v>46068</v>
      </c>
      <c r="C59" t="inlineStr">
        <is>
          <t>CUST-053</t>
        </is>
      </c>
      <c r="D59" t="inlineStr">
        <is>
          <t>Greater Accra</t>
        </is>
      </c>
      <c r="E59" t="inlineStr">
        <is>
          <t>Electronics Accessories</t>
        </is>
      </c>
      <c r="F59" s="11" t="n">
        <v>683.98</v>
      </c>
      <c r="G59" s="11" t="n">
        <v>396.57</v>
      </c>
      <c r="H59" s="11" t="n">
        <v>25</v>
      </c>
      <c r="I59" s="11" t="n">
        <v>35.02</v>
      </c>
      <c r="J59" t="inlineStr">
        <is>
          <t>Delivered</t>
        </is>
      </c>
      <c r="K59" t="inlineStr">
        <is>
          <t>Card</t>
        </is>
      </c>
      <c r="L59" t="n">
        <v>1</v>
      </c>
      <c r="M59" s="11" t="n">
        <v>0</v>
      </c>
    </row>
    <row r="60">
      <c r="A60" t="inlineStr">
        <is>
          <t>ORD-1054</t>
        </is>
      </c>
      <c r="B60" s="10" t="n">
        <v>46068</v>
      </c>
      <c r="C60" t="inlineStr">
        <is>
          <t>CUST-039</t>
        </is>
      </c>
      <c r="D60" t="inlineStr">
        <is>
          <t>Eastern</t>
        </is>
      </c>
      <c r="E60" t="inlineStr">
        <is>
          <t>Electronics Accessories</t>
        </is>
      </c>
      <c r="F60" s="11" t="n">
        <v>517.99</v>
      </c>
      <c r="G60" s="11" t="n">
        <v>294.93</v>
      </c>
      <c r="H60" s="11" t="n">
        <v>10</v>
      </c>
      <c r="I60" s="11" t="n">
        <v>21.53</v>
      </c>
      <c r="J60" t="inlineStr">
        <is>
          <t>Delivered</t>
        </is>
      </c>
      <c r="K60" t="inlineStr">
        <is>
          <t>Mobile Money</t>
        </is>
      </c>
      <c r="L60" t="n">
        <v>2</v>
      </c>
      <c r="M60" s="11" t="n">
        <v>0</v>
      </c>
    </row>
    <row r="61">
      <c r="A61" t="inlineStr">
        <is>
          <t>ORD-1195</t>
        </is>
      </c>
      <c r="B61" s="10" t="n">
        <v>46068</v>
      </c>
      <c r="C61" t="inlineStr">
        <is>
          <t>CUST-005</t>
        </is>
      </c>
      <c r="D61" t="inlineStr">
        <is>
          <t>Central</t>
        </is>
      </c>
      <c r="E61" t="inlineStr">
        <is>
          <t>Small Appliances</t>
        </is>
      </c>
      <c r="F61" s="11" t="n">
        <v>685.9400000000001</v>
      </c>
      <c r="G61" s="11" t="n">
        <v>472.73</v>
      </c>
      <c r="H61" s="11" t="n">
        <v>20</v>
      </c>
      <c r="I61" s="11" t="n">
        <v>35.77</v>
      </c>
      <c r="J61" t="inlineStr">
        <is>
          <t>Delivered</t>
        </is>
      </c>
      <c r="K61" t="inlineStr">
        <is>
          <t>Cash on Delivery</t>
        </is>
      </c>
      <c r="L61" t="n">
        <v>4</v>
      </c>
      <c r="M61" s="11" t="n">
        <v>0</v>
      </c>
    </row>
    <row r="62">
      <c r="A62" t="inlineStr">
        <is>
          <t>ORD-1231</t>
        </is>
      </c>
      <c r="B62" s="10" t="n">
        <v>46068</v>
      </c>
      <c r="C62" t="inlineStr">
        <is>
          <t>CUST-014</t>
        </is>
      </c>
      <c r="D62" t="inlineStr">
        <is>
          <t>Greater Accra</t>
        </is>
      </c>
      <c r="E62" t="inlineStr">
        <is>
          <t>Small Appliances</t>
        </is>
      </c>
      <c r="F62" s="11" t="n">
        <v>857.92</v>
      </c>
      <c r="G62" s="11" t="n">
        <v>551.96</v>
      </c>
      <c r="H62" s="11" t="n">
        <v>30</v>
      </c>
      <c r="I62" s="11" t="n">
        <v>37.26</v>
      </c>
      <c r="J62" t="inlineStr">
        <is>
          <t>Delivered</t>
        </is>
      </c>
      <c r="K62" t="inlineStr">
        <is>
          <t>Mobile Money</t>
        </is>
      </c>
      <c r="L62" t="n">
        <v>2</v>
      </c>
      <c r="M62" s="11" t="n">
        <v>0</v>
      </c>
    </row>
    <row r="63">
      <c r="A63" t="inlineStr">
        <is>
          <t>ORD-1053</t>
        </is>
      </c>
      <c r="B63" s="10" t="n">
        <v>46070</v>
      </c>
      <c r="C63" t="inlineStr">
        <is>
          <t>CUST-025</t>
        </is>
      </c>
      <c r="D63" t="inlineStr">
        <is>
          <t>Western</t>
        </is>
      </c>
      <c r="E63" t="inlineStr">
        <is>
          <t>Electronics Accessories</t>
        </is>
      </c>
      <c r="F63" s="11" t="n">
        <v>477.04</v>
      </c>
      <c r="G63" s="11" t="n">
        <v>310.28</v>
      </c>
      <c r="H63" s="11" t="n">
        <v>30</v>
      </c>
      <c r="I63" s="11" t="n">
        <v>44.97</v>
      </c>
      <c r="J63" t="inlineStr">
        <is>
          <t>Returned</t>
        </is>
      </c>
      <c r="K63" t="inlineStr">
        <is>
          <t>Card</t>
        </is>
      </c>
      <c r="L63" t="n">
        <v>3</v>
      </c>
      <c r="M63" s="11" t="n">
        <v>11.87</v>
      </c>
    </row>
    <row r="64">
      <c r="A64" t="inlineStr">
        <is>
          <t>ORD-1013</t>
        </is>
      </c>
      <c r="B64" s="10" t="n">
        <v>46076</v>
      </c>
      <c r="C64" t="inlineStr">
        <is>
          <t>CUST-044</t>
        </is>
      </c>
      <c r="D64" t="inlineStr">
        <is>
          <t>Greater Accra</t>
        </is>
      </c>
      <c r="E64" t="inlineStr">
        <is>
          <t>Electronics Accessories</t>
        </is>
      </c>
      <c r="F64" s="11" t="n">
        <v>600.08</v>
      </c>
      <c r="G64" s="11" t="n">
        <v>340.56</v>
      </c>
      <c r="H64" s="11" t="n">
        <v>25</v>
      </c>
      <c r="I64" s="11" t="n">
        <v>29.51</v>
      </c>
      <c r="J64" t="inlineStr">
        <is>
          <t>Failed</t>
        </is>
      </c>
      <c r="K64" t="inlineStr">
        <is>
          <t>Mobile Money</t>
        </is>
      </c>
      <c r="L64" t="n">
        <v>8</v>
      </c>
      <c r="M64" s="11" t="n">
        <v>22.1</v>
      </c>
    </row>
    <row r="65">
      <c r="A65" t="inlineStr">
        <is>
          <t>ORD-1236</t>
        </is>
      </c>
      <c r="B65" s="10" t="n">
        <v>46076</v>
      </c>
      <c r="C65" t="inlineStr">
        <is>
          <t>CUST-076</t>
        </is>
      </c>
      <c r="D65" t="inlineStr">
        <is>
          <t>Ashanti</t>
        </is>
      </c>
      <c r="E65" t="inlineStr">
        <is>
          <t>Electronics Accessories</t>
        </is>
      </c>
      <c r="F65" s="11" t="n">
        <v>752.97</v>
      </c>
      <c r="G65" s="11" t="n">
        <v>502.81</v>
      </c>
      <c r="H65" s="11" t="n">
        <v>10</v>
      </c>
      <c r="I65" s="11" t="n">
        <v>17.99</v>
      </c>
      <c r="J65" t="inlineStr">
        <is>
          <t>Delivered</t>
        </is>
      </c>
      <c r="K65" t="inlineStr">
        <is>
          <t>Cash on Delivery</t>
        </is>
      </c>
      <c r="L65" t="n">
        <v>1</v>
      </c>
      <c r="M65" s="11" t="n">
        <v>0</v>
      </c>
    </row>
    <row r="66">
      <c r="A66" t="inlineStr">
        <is>
          <t>ORD-1059</t>
        </is>
      </c>
      <c r="B66" s="10" t="n">
        <v>46077</v>
      </c>
      <c r="C66" t="inlineStr">
        <is>
          <t>CUST-034</t>
        </is>
      </c>
      <c r="D66" t="inlineStr">
        <is>
          <t>Western</t>
        </is>
      </c>
      <c r="E66" t="inlineStr">
        <is>
          <t>Personal Care</t>
        </is>
      </c>
      <c r="F66" s="11" t="n">
        <v>68.19</v>
      </c>
      <c r="G66" s="11" t="n">
        <v>29.41</v>
      </c>
      <c r="H66" s="11" t="n">
        <v>10</v>
      </c>
      <c r="I66" s="11" t="n">
        <v>20.57</v>
      </c>
      <c r="J66" t="inlineStr">
        <is>
          <t>Delivered</t>
        </is>
      </c>
      <c r="K66" t="inlineStr">
        <is>
          <t>Cash on Delivery</t>
        </is>
      </c>
      <c r="L66" t="n">
        <v>3</v>
      </c>
      <c r="M66" s="11" t="n">
        <v>0</v>
      </c>
    </row>
    <row r="67">
      <c r="A67" t="inlineStr">
        <is>
          <t>ORD-1141</t>
        </is>
      </c>
      <c r="B67" s="10" t="n">
        <v>46079</v>
      </c>
      <c r="C67" t="inlineStr">
        <is>
          <t>CUST-058</t>
        </is>
      </c>
      <c r="D67" t="inlineStr">
        <is>
          <t>Central</t>
        </is>
      </c>
      <c r="E67" t="inlineStr">
        <is>
          <t>Small Appliances</t>
        </is>
      </c>
      <c r="F67" s="11" t="n">
        <v>1406.14</v>
      </c>
      <c r="G67" s="11" t="n">
        <v>948.7</v>
      </c>
      <c r="H67" s="11" t="n">
        <v>25</v>
      </c>
      <c r="I67" s="11" t="n">
        <v>37.02</v>
      </c>
      <c r="J67" t="inlineStr">
        <is>
          <t>Delivered</t>
        </is>
      </c>
      <c r="K67" t="inlineStr">
        <is>
          <t>Bank Transfer</t>
        </is>
      </c>
      <c r="L67" t="n">
        <v>4</v>
      </c>
      <c r="M67" s="11" t="n">
        <v>0</v>
      </c>
    </row>
    <row r="68">
      <c r="A68" t="inlineStr">
        <is>
          <t>ORD-1106</t>
        </is>
      </c>
      <c r="B68" s="10" t="n">
        <v>46081</v>
      </c>
      <c r="C68" t="inlineStr">
        <is>
          <t>CUST-053</t>
        </is>
      </c>
      <c r="D68" t="inlineStr">
        <is>
          <t>Greater Accra</t>
        </is>
      </c>
      <c r="E68" t="inlineStr">
        <is>
          <t>Home &amp; Kitchen</t>
        </is>
      </c>
      <c r="F68" s="11" t="n">
        <v>322.1</v>
      </c>
      <c r="G68" s="11" t="n">
        <v>165.84</v>
      </c>
      <c r="H68" s="11" t="n">
        <v>10</v>
      </c>
      <c r="I68" s="11" t="n">
        <v>15.13</v>
      </c>
      <c r="J68" t="inlineStr">
        <is>
          <t>Delivered</t>
        </is>
      </c>
      <c r="K68" t="inlineStr">
        <is>
          <t>Mobile Money</t>
        </is>
      </c>
      <c r="L68" t="n">
        <v>1</v>
      </c>
      <c r="M68" s="11" t="n">
        <v>0</v>
      </c>
    </row>
    <row r="69">
      <c r="A69" t="inlineStr">
        <is>
          <t>ORD-1041</t>
        </is>
      </c>
      <c r="B69" s="10" t="n">
        <v>46084</v>
      </c>
      <c r="C69" t="inlineStr">
        <is>
          <t>CUST-017</t>
        </is>
      </c>
      <c r="D69" t="inlineStr">
        <is>
          <t>Greater Accra</t>
        </is>
      </c>
      <c r="E69" t="inlineStr">
        <is>
          <t>Home &amp; Kitchen</t>
        </is>
      </c>
      <c r="F69" s="11" t="n">
        <v>118.63</v>
      </c>
      <c r="G69" s="11" t="n">
        <v>72.44</v>
      </c>
      <c r="H69" s="11" t="n">
        <v>25</v>
      </c>
      <c r="I69" s="11" t="n">
        <v>33.99</v>
      </c>
      <c r="J69" t="inlineStr">
        <is>
          <t>Delivered</t>
        </is>
      </c>
      <c r="K69" t="inlineStr">
        <is>
          <t>Mobile Money</t>
        </is>
      </c>
      <c r="L69" t="n">
        <v>1</v>
      </c>
      <c r="M69" s="11" t="n">
        <v>0</v>
      </c>
    </row>
    <row r="70">
      <c r="A70" t="inlineStr">
        <is>
          <t>ORD-1050</t>
        </is>
      </c>
      <c r="B70" s="10" t="n">
        <v>46084</v>
      </c>
      <c r="C70" t="inlineStr">
        <is>
          <t>CUST-089</t>
        </is>
      </c>
      <c r="D70" t="inlineStr">
        <is>
          <t>Greater Accra</t>
        </is>
      </c>
      <c r="E70" t="inlineStr">
        <is>
          <t>Home &amp; Kitchen</t>
        </is>
      </c>
      <c r="F70" s="11" t="n">
        <v>477.11</v>
      </c>
      <c r="G70" s="11" t="n">
        <v>248.42</v>
      </c>
      <c r="H70" s="11" t="n">
        <v>10</v>
      </c>
      <c r="I70" s="11" t="n">
        <v>12.93</v>
      </c>
      <c r="J70" t="inlineStr">
        <is>
          <t>Delivered</t>
        </is>
      </c>
      <c r="K70" t="inlineStr">
        <is>
          <t>Cash on Delivery</t>
        </is>
      </c>
      <c r="L70" t="n">
        <v>2</v>
      </c>
      <c r="M70" s="11" t="n">
        <v>0</v>
      </c>
    </row>
    <row r="71">
      <c r="A71" t="inlineStr">
        <is>
          <t>ORD-1057</t>
        </is>
      </c>
      <c r="B71" s="10" t="n">
        <v>46086</v>
      </c>
      <c r="C71" t="inlineStr">
        <is>
          <t>CUST-016</t>
        </is>
      </c>
      <c r="D71" t="inlineStr">
        <is>
          <t>Northern</t>
        </is>
      </c>
      <c r="E71" t="inlineStr">
        <is>
          <t>Personal Care</t>
        </is>
      </c>
      <c r="F71" s="11" t="n">
        <v>139.45</v>
      </c>
      <c r="G71" s="11" t="n">
        <v>70.73999999999999</v>
      </c>
      <c r="H71" s="11" t="n">
        <v>30</v>
      </c>
      <c r="I71" s="11" t="n">
        <v>44.26</v>
      </c>
      <c r="J71" t="inlineStr">
        <is>
          <t>Delivered</t>
        </is>
      </c>
      <c r="K71" t="inlineStr">
        <is>
          <t>Mobile Money</t>
        </is>
      </c>
      <c r="L71" t="n">
        <v>2</v>
      </c>
      <c r="M71" s="11" t="n">
        <v>0</v>
      </c>
    </row>
    <row r="72">
      <c r="A72" t="inlineStr">
        <is>
          <t>ORD-1019</t>
        </is>
      </c>
      <c r="B72" s="10" t="n">
        <v>46091</v>
      </c>
      <c r="C72" t="inlineStr">
        <is>
          <t>CUST-021</t>
        </is>
      </c>
      <c r="D72" t="inlineStr">
        <is>
          <t>Eastern</t>
        </is>
      </c>
      <c r="E72" t="inlineStr">
        <is>
          <t>Stationery</t>
        </is>
      </c>
      <c r="F72" s="11" t="n">
        <v>32.84</v>
      </c>
      <c r="G72" s="11" t="n">
        <v>16.65</v>
      </c>
      <c r="H72" s="11" t="n">
        <v>25</v>
      </c>
      <c r="I72" s="11" t="n">
        <v>33.22</v>
      </c>
      <c r="J72" t="inlineStr">
        <is>
          <t>Delivered</t>
        </is>
      </c>
      <c r="K72" t="inlineStr">
        <is>
          <t>Mobile Money</t>
        </is>
      </c>
      <c r="L72" t="n">
        <v>2</v>
      </c>
      <c r="M72" s="11" t="n">
        <v>0</v>
      </c>
    </row>
    <row r="73">
      <c r="A73" t="inlineStr">
        <is>
          <t>ORD-1065</t>
        </is>
      </c>
      <c r="B73" s="10" t="n">
        <v>46091</v>
      </c>
      <c r="C73" t="inlineStr">
        <is>
          <t>CUST-074</t>
        </is>
      </c>
      <c r="D73" t="inlineStr">
        <is>
          <t>Ashanti</t>
        </is>
      </c>
      <c r="E73" t="inlineStr">
        <is>
          <t>Electronics Accessories</t>
        </is>
      </c>
      <c r="F73" s="11" t="n">
        <v>700.14</v>
      </c>
      <c r="G73" s="11" t="n">
        <v>423.37</v>
      </c>
      <c r="H73" s="11" t="n">
        <v>25</v>
      </c>
      <c r="I73" s="11" t="n">
        <v>39.16</v>
      </c>
      <c r="J73" t="inlineStr">
        <is>
          <t>Delivered</t>
        </is>
      </c>
      <c r="K73" t="inlineStr">
        <is>
          <t>Cash on Delivery</t>
        </is>
      </c>
      <c r="L73" t="n">
        <v>2</v>
      </c>
      <c r="M73" s="11" t="n">
        <v>0</v>
      </c>
    </row>
    <row r="74">
      <c r="A74" t="inlineStr">
        <is>
          <t>ORD-1200</t>
        </is>
      </c>
      <c r="B74" s="10" t="n">
        <v>46091</v>
      </c>
      <c r="C74" t="inlineStr">
        <is>
          <t>CUST-043</t>
        </is>
      </c>
      <c r="D74" t="inlineStr">
        <is>
          <t>Greater Accra</t>
        </is>
      </c>
      <c r="E74" t="inlineStr">
        <is>
          <t>Home &amp; Kitchen</t>
        </is>
      </c>
      <c r="F74" s="11" t="n">
        <v>483.73</v>
      </c>
      <c r="G74" s="11" t="n">
        <v>213.84</v>
      </c>
      <c r="H74" s="11" t="n">
        <v>20</v>
      </c>
      <c r="I74" s="11" t="n">
        <v>28.93</v>
      </c>
      <c r="J74" t="inlineStr">
        <is>
          <t>Delivered</t>
        </is>
      </c>
      <c r="K74" t="inlineStr">
        <is>
          <t>Mobile Money</t>
        </is>
      </c>
      <c r="L74" t="n">
        <v>1</v>
      </c>
      <c r="M74" s="11" t="n">
        <v>0</v>
      </c>
    </row>
    <row r="75">
      <c r="A75" t="inlineStr">
        <is>
          <t>ORD-1037</t>
        </is>
      </c>
      <c r="B75" s="10" t="n">
        <v>46092</v>
      </c>
      <c r="C75" t="inlineStr">
        <is>
          <t>CUST-056</t>
        </is>
      </c>
      <c r="D75" t="inlineStr">
        <is>
          <t>Northern</t>
        </is>
      </c>
      <c r="E75" t="inlineStr">
        <is>
          <t>Home &amp; Kitchen</t>
        </is>
      </c>
      <c r="F75" s="11" t="n">
        <v>283.31</v>
      </c>
      <c r="G75" s="11" t="n">
        <v>158.77</v>
      </c>
      <c r="H75" s="11" t="n">
        <v>25</v>
      </c>
      <c r="I75" s="11" t="n">
        <v>44.24</v>
      </c>
      <c r="J75" t="inlineStr">
        <is>
          <t>Failed</t>
        </is>
      </c>
      <c r="K75" t="inlineStr">
        <is>
          <t>Card</t>
        </is>
      </c>
      <c r="L75" t="n">
        <v>2</v>
      </c>
      <c r="M75" s="11" t="n">
        <v>23.42</v>
      </c>
    </row>
    <row r="76">
      <c r="A76" t="inlineStr">
        <is>
          <t>ORD-1197</t>
        </is>
      </c>
      <c r="B76" s="10" t="n">
        <v>46092</v>
      </c>
      <c r="C76" t="inlineStr">
        <is>
          <t>CUST-025</t>
        </is>
      </c>
      <c r="D76" t="inlineStr">
        <is>
          <t>Western</t>
        </is>
      </c>
      <c r="E76" t="inlineStr">
        <is>
          <t>Stationery</t>
        </is>
      </c>
      <c r="F76" s="11" t="n">
        <v>69.56</v>
      </c>
      <c r="G76" s="11" t="n">
        <v>33.5</v>
      </c>
      <c r="H76" s="11" t="n">
        <v>20</v>
      </c>
      <c r="I76" s="11" t="n">
        <v>36.19</v>
      </c>
      <c r="J76" t="inlineStr">
        <is>
          <t>Delivered</t>
        </is>
      </c>
      <c r="K76" t="inlineStr">
        <is>
          <t>Mobile Money</t>
        </is>
      </c>
      <c r="L76" t="n">
        <v>3</v>
      </c>
      <c r="M76" s="11" t="n">
        <v>0</v>
      </c>
    </row>
    <row r="77">
      <c r="A77" t="inlineStr">
        <is>
          <t>ORD-1239</t>
        </is>
      </c>
      <c r="B77" s="10" t="n">
        <v>46092</v>
      </c>
      <c r="C77" t="inlineStr">
        <is>
          <t>CUST-058</t>
        </is>
      </c>
      <c r="D77" t="inlineStr">
        <is>
          <t>Central</t>
        </is>
      </c>
      <c r="E77" t="inlineStr">
        <is>
          <t>Personal Care</t>
        </is>
      </c>
      <c r="F77" s="11" t="n">
        <v>122.85</v>
      </c>
      <c r="G77" s="11" t="n">
        <v>69.95</v>
      </c>
      <c r="H77" s="11" t="n">
        <v>25</v>
      </c>
      <c r="I77" s="11" t="n">
        <v>33.86</v>
      </c>
      <c r="J77" t="inlineStr">
        <is>
          <t>Delivered</t>
        </is>
      </c>
      <c r="K77" t="inlineStr">
        <is>
          <t>Mobile Money</t>
        </is>
      </c>
      <c r="L77" t="n">
        <v>3</v>
      </c>
      <c r="M77" s="11" t="n">
        <v>0</v>
      </c>
    </row>
    <row r="78">
      <c r="A78" t="inlineStr">
        <is>
          <t>ORD-1049</t>
        </is>
      </c>
      <c r="B78" s="10" t="n">
        <v>46094</v>
      </c>
      <c r="C78" t="inlineStr">
        <is>
          <t>CUST-077</t>
        </is>
      </c>
      <c r="D78" t="inlineStr">
        <is>
          <t>Western</t>
        </is>
      </c>
      <c r="E78" t="inlineStr">
        <is>
          <t>Stationery</t>
        </is>
      </c>
      <c r="F78" s="11" t="n">
        <v>60.58</v>
      </c>
      <c r="G78" s="11" t="n">
        <v>21.31</v>
      </c>
      <c r="H78" s="11" t="n">
        <v>15</v>
      </c>
      <c r="I78" s="11" t="n">
        <v>24.86</v>
      </c>
      <c r="J78" t="inlineStr">
        <is>
          <t>Delivered</t>
        </is>
      </c>
      <c r="K78" t="inlineStr">
        <is>
          <t>Cash on Delivery</t>
        </is>
      </c>
      <c r="L78" t="n">
        <v>2</v>
      </c>
      <c r="M78" s="11" t="n">
        <v>0</v>
      </c>
    </row>
    <row r="79">
      <c r="A79" t="inlineStr">
        <is>
          <t>ORD-1096</t>
        </is>
      </c>
      <c r="B79" s="10" t="n">
        <v>46094</v>
      </c>
      <c r="C79" t="inlineStr">
        <is>
          <t>CUST-005</t>
        </is>
      </c>
      <c r="D79" t="inlineStr">
        <is>
          <t>Central</t>
        </is>
      </c>
      <c r="E79" t="inlineStr">
        <is>
          <t>Stationery</t>
        </is>
      </c>
      <c r="F79" s="11" t="n">
        <v>50.85</v>
      </c>
      <c r="G79" s="11" t="n">
        <v>21.87</v>
      </c>
      <c r="H79" s="11" t="n">
        <v>15</v>
      </c>
      <c r="I79" s="11" t="n">
        <v>30.55</v>
      </c>
      <c r="J79" t="inlineStr">
        <is>
          <t>Delivered</t>
        </is>
      </c>
      <c r="K79" t="inlineStr">
        <is>
          <t>Cash on Delivery</t>
        </is>
      </c>
      <c r="L79" t="n">
        <v>2</v>
      </c>
      <c r="M79" s="11" t="n">
        <v>0</v>
      </c>
    </row>
    <row r="80">
      <c r="A80" t="inlineStr">
        <is>
          <t>ORD-1152</t>
        </is>
      </c>
      <c r="B80" s="10" t="n">
        <v>46096</v>
      </c>
      <c r="C80" t="inlineStr">
        <is>
          <t>CUST-046</t>
        </is>
      </c>
      <c r="D80" t="inlineStr">
        <is>
          <t>Greater Accra</t>
        </is>
      </c>
      <c r="E80" t="inlineStr">
        <is>
          <t>Small Appliances</t>
        </is>
      </c>
      <c r="F80" s="11" t="n">
        <v>214.54</v>
      </c>
      <c r="G80" s="11" t="n">
        <v>154.05</v>
      </c>
      <c r="H80" s="11" t="n">
        <v>20</v>
      </c>
      <c r="I80" s="11" t="n">
        <v>23.24</v>
      </c>
      <c r="J80" t="inlineStr">
        <is>
          <t>Delivered</t>
        </is>
      </c>
      <c r="K80" t="inlineStr">
        <is>
          <t>Card</t>
        </is>
      </c>
      <c r="L80" t="n">
        <v>1</v>
      </c>
      <c r="M80" s="11" t="n">
        <v>0</v>
      </c>
    </row>
    <row r="81">
      <c r="A81" t="inlineStr">
        <is>
          <t>ORD-1190</t>
        </is>
      </c>
      <c r="B81" s="10" t="n">
        <v>46096</v>
      </c>
      <c r="C81" t="inlineStr">
        <is>
          <t>CUST-011</t>
        </is>
      </c>
      <c r="D81" t="inlineStr">
        <is>
          <t>Greater Accra</t>
        </is>
      </c>
      <c r="E81" t="inlineStr">
        <is>
          <t>Home &amp; Kitchen</t>
        </is>
      </c>
      <c r="F81" s="11" t="n">
        <v>315.43</v>
      </c>
      <c r="G81" s="11" t="n">
        <v>153.35</v>
      </c>
      <c r="H81" s="11" t="n">
        <v>25</v>
      </c>
      <c r="I81" s="11" t="n">
        <v>29.14</v>
      </c>
      <c r="J81" t="inlineStr">
        <is>
          <t>Delivered</t>
        </is>
      </c>
      <c r="K81" t="inlineStr">
        <is>
          <t>Mobile Money</t>
        </is>
      </c>
      <c r="L81" t="n">
        <v>2</v>
      </c>
      <c r="M81" s="11" t="n">
        <v>0</v>
      </c>
    </row>
    <row r="82">
      <c r="A82" t="inlineStr">
        <is>
          <t>ORD-1085</t>
        </is>
      </c>
      <c r="B82" s="10" t="n">
        <v>46098</v>
      </c>
      <c r="C82" t="inlineStr">
        <is>
          <t>CUST-090</t>
        </is>
      </c>
      <c r="D82" t="inlineStr">
        <is>
          <t>Greater Accra</t>
        </is>
      </c>
      <c r="E82" t="inlineStr">
        <is>
          <t>Home &amp; Kitchen</t>
        </is>
      </c>
      <c r="F82" s="11" t="n">
        <v>636.77</v>
      </c>
      <c r="G82" s="11" t="n">
        <v>355.62</v>
      </c>
      <c r="H82" s="11" t="n">
        <v>20</v>
      </c>
      <c r="I82" s="11" t="n">
        <v>22.08</v>
      </c>
      <c r="J82" t="inlineStr">
        <is>
          <t>Delivered</t>
        </is>
      </c>
      <c r="K82" t="inlineStr">
        <is>
          <t>Cash on Delivery</t>
        </is>
      </c>
      <c r="L82" t="n">
        <v>2</v>
      </c>
      <c r="M82" s="11" t="n">
        <v>0</v>
      </c>
    </row>
    <row r="83">
      <c r="A83" t="inlineStr">
        <is>
          <t>ORD-1198</t>
        </is>
      </c>
      <c r="B83" s="10" t="n">
        <v>46098</v>
      </c>
      <c r="C83" t="inlineStr">
        <is>
          <t>CUST-073</t>
        </is>
      </c>
      <c r="D83" t="inlineStr">
        <is>
          <t>Eastern</t>
        </is>
      </c>
      <c r="E83" t="inlineStr">
        <is>
          <t>Personal Care</t>
        </is>
      </c>
      <c r="F83" s="11" t="n">
        <v>78.12</v>
      </c>
      <c r="G83" s="11" t="n">
        <v>39.84</v>
      </c>
      <c r="H83" s="11" t="n">
        <v>25</v>
      </c>
      <c r="I83" s="11" t="n">
        <v>39.27</v>
      </c>
      <c r="J83" t="inlineStr">
        <is>
          <t>Delivered</t>
        </is>
      </c>
      <c r="K83" t="inlineStr">
        <is>
          <t>Mobile Money</t>
        </is>
      </c>
      <c r="L83" t="n">
        <v>2</v>
      </c>
      <c r="M83" s="11" t="n">
        <v>0</v>
      </c>
    </row>
    <row r="84">
      <c r="A84" t="inlineStr">
        <is>
          <t>ORD-1188</t>
        </is>
      </c>
      <c r="B84" s="10" t="n">
        <v>46099</v>
      </c>
      <c r="C84" t="inlineStr">
        <is>
          <t>CUST-037</t>
        </is>
      </c>
      <c r="D84" t="inlineStr">
        <is>
          <t>Eastern</t>
        </is>
      </c>
      <c r="E84" t="inlineStr">
        <is>
          <t>Stationery</t>
        </is>
      </c>
      <c r="F84" s="11" t="n">
        <v>128.89</v>
      </c>
      <c r="G84" s="11" t="n">
        <v>56.46</v>
      </c>
      <c r="H84" s="11" t="n">
        <v>25</v>
      </c>
      <c r="I84" s="11" t="n">
        <v>34.49</v>
      </c>
      <c r="J84" t="inlineStr">
        <is>
          <t>Failed</t>
        </is>
      </c>
      <c r="K84" t="inlineStr">
        <is>
          <t>Card</t>
        </is>
      </c>
      <c r="L84" t="n">
        <v>6</v>
      </c>
      <c r="M84" s="11" t="n">
        <v>12.89</v>
      </c>
    </row>
    <row r="85">
      <c r="A85" t="inlineStr">
        <is>
          <t>ORD-1063</t>
        </is>
      </c>
      <c r="B85" s="10" t="n">
        <v>46100</v>
      </c>
      <c r="C85" t="inlineStr">
        <is>
          <t>CUST-090</t>
        </is>
      </c>
      <c r="D85" t="inlineStr">
        <is>
          <t>Greater Accra</t>
        </is>
      </c>
      <c r="E85" t="inlineStr">
        <is>
          <t>Home &amp; Kitchen</t>
        </is>
      </c>
      <c r="F85" s="11" t="n">
        <v>213.35</v>
      </c>
      <c r="G85" s="11" t="n">
        <v>114.61</v>
      </c>
      <c r="H85" s="11" t="n">
        <v>25</v>
      </c>
      <c r="I85" s="11" t="n">
        <v>27.8</v>
      </c>
      <c r="J85" t="inlineStr">
        <is>
          <t>Delivered</t>
        </is>
      </c>
      <c r="K85" t="inlineStr">
        <is>
          <t>Mobile Money</t>
        </is>
      </c>
      <c r="L85" t="n">
        <v>1</v>
      </c>
      <c r="M85" s="11" t="n">
        <v>0</v>
      </c>
    </row>
    <row r="86">
      <c r="A86" t="inlineStr">
        <is>
          <t>ORD-1125</t>
        </is>
      </c>
      <c r="B86" s="10" t="n">
        <v>46100</v>
      </c>
      <c r="C86" t="inlineStr">
        <is>
          <t>CUST-036</t>
        </is>
      </c>
      <c r="D86" t="inlineStr">
        <is>
          <t>Northern</t>
        </is>
      </c>
      <c r="E86" t="inlineStr">
        <is>
          <t>Personal Care</t>
        </is>
      </c>
      <c r="F86" s="11" t="n">
        <v>121.78</v>
      </c>
      <c r="G86" s="11" t="n">
        <v>50.34</v>
      </c>
      <c r="H86" s="11" t="n">
        <v>25</v>
      </c>
      <c r="I86" s="11" t="n">
        <v>41.52</v>
      </c>
      <c r="J86" t="inlineStr">
        <is>
          <t>Delivered</t>
        </is>
      </c>
      <c r="K86" t="inlineStr">
        <is>
          <t>Card</t>
        </is>
      </c>
      <c r="L86" t="n">
        <v>4</v>
      </c>
      <c r="M86" s="11" t="n">
        <v>0</v>
      </c>
    </row>
    <row r="87">
      <c r="A87" t="inlineStr">
        <is>
          <t>ORD-1020</t>
        </is>
      </c>
      <c r="B87" s="10" t="n">
        <v>46101</v>
      </c>
      <c r="C87" t="inlineStr">
        <is>
          <t>CUST-030</t>
        </is>
      </c>
      <c r="D87" t="inlineStr">
        <is>
          <t>Northern</t>
        </is>
      </c>
      <c r="E87" t="inlineStr">
        <is>
          <t>Electronics Accessories</t>
        </is>
      </c>
      <c r="F87" s="11" t="n">
        <v>621.23</v>
      </c>
      <c r="G87" s="11" t="n">
        <v>367.6</v>
      </c>
      <c r="H87" s="11" t="n">
        <v>20</v>
      </c>
      <c r="I87" s="11" t="n">
        <v>40.64</v>
      </c>
      <c r="J87" t="inlineStr">
        <is>
          <t>Returned</t>
        </is>
      </c>
      <c r="K87" t="inlineStr">
        <is>
          <t>Mobile Money</t>
        </is>
      </c>
      <c r="L87" t="n">
        <v>6</v>
      </c>
      <c r="M87" s="11" t="n">
        <v>16.66</v>
      </c>
    </row>
    <row r="88">
      <c r="A88" t="inlineStr">
        <is>
          <t>ORD-1051</t>
        </is>
      </c>
      <c r="B88" s="10" t="n">
        <v>46101</v>
      </c>
      <c r="C88" t="inlineStr">
        <is>
          <t>CUST-085</t>
        </is>
      </c>
      <c r="D88" t="inlineStr">
        <is>
          <t>Ashanti</t>
        </is>
      </c>
      <c r="E88" t="inlineStr">
        <is>
          <t>Personal Care</t>
        </is>
      </c>
      <c r="F88" s="11" t="n">
        <v>155.15</v>
      </c>
      <c r="G88" s="11" t="n">
        <v>76.89</v>
      </c>
      <c r="H88" s="11" t="n">
        <v>25</v>
      </c>
      <c r="I88" s="11" t="n">
        <v>39.97</v>
      </c>
      <c r="J88" t="inlineStr">
        <is>
          <t>Delivered</t>
        </is>
      </c>
      <c r="K88" t="inlineStr">
        <is>
          <t>Mobile Money</t>
        </is>
      </c>
      <c r="L88" t="n">
        <v>3</v>
      </c>
      <c r="M88" s="11" t="n">
        <v>0</v>
      </c>
    </row>
    <row r="89">
      <c r="A89" t="inlineStr">
        <is>
          <t>ORD-1155</t>
        </is>
      </c>
      <c r="B89" s="10" t="n">
        <v>46101</v>
      </c>
      <c r="C89" t="inlineStr">
        <is>
          <t>CUST-058</t>
        </is>
      </c>
      <c r="D89" t="inlineStr">
        <is>
          <t>Central</t>
        </is>
      </c>
      <c r="E89" t="inlineStr">
        <is>
          <t>Personal Care</t>
        </is>
      </c>
      <c r="F89" s="11" t="n">
        <v>142.18</v>
      </c>
      <c r="G89" s="11" t="n">
        <v>74.52</v>
      </c>
      <c r="H89" s="11" t="n">
        <v>20</v>
      </c>
      <c r="I89" s="11" t="n">
        <v>31.47</v>
      </c>
      <c r="J89" t="inlineStr">
        <is>
          <t>Delivered</t>
        </is>
      </c>
      <c r="K89" t="inlineStr">
        <is>
          <t>Card</t>
        </is>
      </c>
      <c r="L89" t="n">
        <v>2</v>
      </c>
      <c r="M89" s="11" t="n">
        <v>0</v>
      </c>
    </row>
    <row r="90">
      <c r="A90" t="inlineStr">
        <is>
          <t>ORD-1201</t>
        </is>
      </c>
      <c r="B90" s="10" t="n">
        <v>46101</v>
      </c>
      <c r="C90" t="inlineStr">
        <is>
          <t>CUST-021</t>
        </is>
      </c>
      <c r="D90" t="inlineStr">
        <is>
          <t>Eastern</t>
        </is>
      </c>
      <c r="E90" t="inlineStr">
        <is>
          <t>Home &amp; Kitchen</t>
        </is>
      </c>
      <c r="F90" s="11" t="n">
        <v>351.51</v>
      </c>
      <c r="G90" s="11" t="n">
        <v>211.3</v>
      </c>
      <c r="H90" s="11" t="n">
        <v>20</v>
      </c>
      <c r="I90" s="11" t="n">
        <v>32.9</v>
      </c>
      <c r="J90" t="inlineStr">
        <is>
          <t>Delivered</t>
        </is>
      </c>
      <c r="K90" t="inlineStr">
        <is>
          <t>Bank Transfer</t>
        </is>
      </c>
      <c r="L90" t="n">
        <v>2</v>
      </c>
      <c r="M90" s="11" t="n">
        <v>0</v>
      </c>
    </row>
    <row r="91">
      <c r="A91" t="inlineStr">
        <is>
          <t>ORD-1207</t>
        </is>
      </c>
      <c r="B91" s="10" t="n">
        <v>46101</v>
      </c>
      <c r="C91" t="inlineStr">
        <is>
          <t>CUST-003</t>
        </is>
      </c>
      <c r="D91" t="inlineStr">
        <is>
          <t>Greater Accra</t>
        </is>
      </c>
      <c r="E91" t="inlineStr">
        <is>
          <t>Home &amp; Kitchen</t>
        </is>
      </c>
      <c r="F91" s="11" t="n">
        <v>539.87</v>
      </c>
      <c r="G91" s="11" t="n">
        <v>310.02</v>
      </c>
      <c r="H91" s="11" t="n">
        <v>30</v>
      </c>
      <c r="I91" s="11" t="n">
        <v>32.73</v>
      </c>
      <c r="J91" t="inlineStr">
        <is>
          <t>Delivered</t>
        </is>
      </c>
      <c r="K91" t="inlineStr">
        <is>
          <t>Cash on Delivery</t>
        </is>
      </c>
      <c r="L91" t="n">
        <v>1</v>
      </c>
      <c r="M91" s="11" t="n">
        <v>0</v>
      </c>
    </row>
    <row r="92">
      <c r="A92" t="inlineStr">
        <is>
          <t>ORD-1070</t>
        </is>
      </c>
      <c r="B92" s="10" t="n">
        <v>46102</v>
      </c>
      <c r="C92" t="inlineStr">
        <is>
          <t>CUST-071</t>
        </is>
      </c>
      <c r="D92" t="inlineStr">
        <is>
          <t>Greater Accra</t>
        </is>
      </c>
      <c r="E92" t="inlineStr">
        <is>
          <t>Electronics Accessories</t>
        </is>
      </c>
      <c r="F92" s="11" t="n">
        <v>414.55</v>
      </c>
      <c r="G92" s="11" t="n">
        <v>232.33</v>
      </c>
      <c r="H92" s="11" t="n">
        <v>10</v>
      </c>
      <c r="I92" s="11" t="n">
        <v>16.61</v>
      </c>
      <c r="J92" t="inlineStr">
        <is>
          <t>Delivered</t>
        </is>
      </c>
      <c r="K92" t="inlineStr">
        <is>
          <t>Card</t>
        </is>
      </c>
      <c r="L92" t="n">
        <v>3</v>
      </c>
      <c r="M92" s="11" t="n">
        <v>0</v>
      </c>
    </row>
    <row r="93">
      <c r="A93" t="inlineStr">
        <is>
          <t>ORD-1119</t>
        </is>
      </c>
      <c r="B93" s="10" t="n">
        <v>46103</v>
      </c>
      <c r="C93" t="inlineStr">
        <is>
          <t>CUST-074</t>
        </is>
      </c>
      <c r="D93" t="inlineStr">
        <is>
          <t>Ashanti</t>
        </is>
      </c>
      <c r="E93" t="inlineStr">
        <is>
          <t>Home &amp; Kitchen</t>
        </is>
      </c>
      <c r="F93" s="11" t="n">
        <v>292.65</v>
      </c>
      <c r="G93" s="11" t="n">
        <v>162.49</v>
      </c>
      <c r="H93" s="11" t="n">
        <v>20</v>
      </c>
      <c r="I93" s="11" t="n">
        <v>26.15</v>
      </c>
      <c r="J93" t="inlineStr">
        <is>
          <t>Delivered</t>
        </is>
      </c>
      <c r="K93" t="inlineStr">
        <is>
          <t>Mobile Money</t>
        </is>
      </c>
      <c r="L93" t="n">
        <v>3</v>
      </c>
      <c r="M93" s="11" t="n">
        <v>0</v>
      </c>
    </row>
    <row r="94">
      <c r="A94" t="inlineStr">
        <is>
          <t>ORD-1162</t>
        </is>
      </c>
      <c r="B94" s="10" t="n">
        <v>46104</v>
      </c>
      <c r="C94" t="inlineStr">
        <is>
          <t>CUST-086</t>
        </is>
      </c>
      <c r="D94" t="inlineStr">
        <is>
          <t>Greater Accra</t>
        </is>
      </c>
      <c r="E94" t="inlineStr">
        <is>
          <t>Home &amp; Kitchen</t>
        </is>
      </c>
      <c r="F94" s="11" t="n">
        <v>88.95999999999999</v>
      </c>
      <c r="G94" s="11" t="n">
        <v>47.82</v>
      </c>
      <c r="H94" s="11" t="n">
        <v>20</v>
      </c>
      <c r="I94" s="11" t="n">
        <v>30.51</v>
      </c>
      <c r="J94" t="inlineStr">
        <is>
          <t>Delivered</t>
        </is>
      </c>
      <c r="K94" t="inlineStr">
        <is>
          <t>Bank Transfer</t>
        </is>
      </c>
      <c r="L94" t="n">
        <v>1</v>
      </c>
      <c r="M94" s="11" t="n">
        <v>0</v>
      </c>
    </row>
    <row r="95">
      <c r="A95" t="inlineStr">
        <is>
          <t>ORD-1172</t>
        </is>
      </c>
      <c r="B95" s="10" t="n">
        <v>46104</v>
      </c>
      <c r="C95" t="inlineStr">
        <is>
          <t>CUST-045</t>
        </is>
      </c>
      <c r="D95" t="inlineStr">
        <is>
          <t>Greater Accra</t>
        </is>
      </c>
      <c r="E95" t="inlineStr">
        <is>
          <t>Small Appliances</t>
        </is>
      </c>
      <c r="F95" s="11" t="n">
        <v>326.53</v>
      </c>
      <c r="G95" s="11" t="n">
        <v>217.7</v>
      </c>
      <c r="H95" s="11" t="n">
        <v>30</v>
      </c>
      <c r="I95" s="11" t="n">
        <v>33.06</v>
      </c>
      <c r="J95" t="inlineStr">
        <is>
          <t>Delivered</t>
        </is>
      </c>
      <c r="K95" t="inlineStr">
        <is>
          <t>Mobile Money</t>
        </is>
      </c>
      <c r="L95" t="n">
        <v>2</v>
      </c>
      <c r="M95" s="11" t="n">
        <v>0</v>
      </c>
    </row>
    <row r="96">
      <c r="A96" t="inlineStr">
        <is>
          <t>ORD-1217</t>
        </is>
      </c>
      <c r="B96" s="10" t="n">
        <v>46104</v>
      </c>
      <c r="C96" t="inlineStr">
        <is>
          <t>CUST-090</t>
        </is>
      </c>
      <c r="D96" t="inlineStr">
        <is>
          <t>Greater Accra</t>
        </is>
      </c>
      <c r="E96" t="inlineStr">
        <is>
          <t>Home &amp; Kitchen</t>
        </is>
      </c>
      <c r="F96" s="11" t="n">
        <v>139.53</v>
      </c>
      <c r="G96" s="11" t="n">
        <v>70.84999999999999</v>
      </c>
      <c r="H96" s="11" t="n">
        <v>30</v>
      </c>
      <c r="I96" s="11" t="n">
        <v>36.74</v>
      </c>
      <c r="J96" t="inlineStr">
        <is>
          <t>Delivered</t>
        </is>
      </c>
      <c r="K96" t="inlineStr">
        <is>
          <t>Mobile Money</t>
        </is>
      </c>
      <c r="L96" t="n">
        <v>2</v>
      </c>
      <c r="M96" s="11" t="n">
        <v>0</v>
      </c>
    </row>
    <row r="97">
      <c r="A97" t="inlineStr">
        <is>
          <t>ORD-1224</t>
        </is>
      </c>
      <c r="B97" s="10" t="n">
        <v>46104</v>
      </c>
      <c r="C97" t="inlineStr">
        <is>
          <t>CUST-027</t>
        </is>
      </c>
      <c r="D97" t="inlineStr">
        <is>
          <t>Greater Accra</t>
        </is>
      </c>
      <c r="E97" t="inlineStr">
        <is>
          <t>Home &amp; Kitchen</t>
        </is>
      </c>
      <c r="F97" s="11" t="n">
        <v>298.36</v>
      </c>
      <c r="G97" s="11" t="n">
        <v>161.49</v>
      </c>
      <c r="H97" s="11" t="n">
        <v>15</v>
      </c>
      <c r="I97" s="11" t="n">
        <v>24.41</v>
      </c>
      <c r="J97" t="inlineStr">
        <is>
          <t>Delivered</t>
        </is>
      </c>
      <c r="K97" t="inlineStr">
        <is>
          <t>Cash on Delivery</t>
        </is>
      </c>
      <c r="L97" t="n">
        <v>1</v>
      </c>
      <c r="M97" s="11" t="n">
        <v>0</v>
      </c>
    </row>
    <row r="98">
      <c r="A98" t="inlineStr">
        <is>
          <t>ORD-1248</t>
        </is>
      </c>
      <c r="B98" s="10" t="n">
        <v>46104</v>
      </c>
      <c r="C98" t="inlineStr">
        <is>
          <t>CUST-038</t>
        </is>
      </c>
      <c r="D98" t="inlineStr">
        <is>
          <t>Northern</t>
        </is>
      </c>
      <c r="E98" t="inlineStr">
        <is>
          <t>Stationery</t>
        </is>
      </c>
      <c r="F98" s="11" t="n">
        <v>119.43</v>
      </c>
      <c r="G98" s="11" t="n">
        <v>62.6</v>
      </c>
      <c r="H98" s="11" t="n">
        <v>15</v>
      </c>
      <c r="I98" s="11" t="n">
        <v>30.26</v>
      </c>
      <c r="J98" t="inlineStr">
        <is>
          <t>Delivered</t>
        </is>
      </c>
      <c r="K98" t="inlineStr">
        <is>
          <t>Card</t>
        </is>
      </c>
      <c r="L98" t="n">
        <v>5</v>
      </c>
      <c r="M98" s="11" t="n">
        <v>0</v>
      </c>
    </row>
    <row r="99">
      <c r="A99" t="inlineStr">
        <is>
          <t>ORD-1064</t>
        </is>
      </c>
      <c r="B99" s="10" t="n">
        <v>46105</v>
      </c>
      <c r="C99" t="inlineStr">
        <is>
          <t>CUST-078</t>
        </is>
      </c>
      <c r="D99" t="inlineStr">
        <is>
          <t>Ashanti</t>
        </is>
      </c>
      <c r="E99" t="inlineStr">
        <is>
          <t>Home &amp; Kitchen</t>
        </is>
      </c>
      <c r="F99" s="11" t="n">
        <v>104.8</v>
      </c>
      <c r="G99" s="11" t="n">
        <v>64.26000000000001</v>
      </c>
      <c r="H99" s="11" t="n">
        <v>30</v>
      </c>
      <c r="I99" s="11" t="n">
        <v>40.87</v>
      </c>
      <c r="J99" t="inlineStr">
        <is>
          <t>Delivered</t>
        </is>
      </c>
      <c r="K99" t="inlineStr">
        <is>
          <t>Cash on Delivery</t>
        </is>
      </c>
      <c r="L99" t="n">
        <v>3</v>
      </c>
      <c r="M99" s="11" t="n">
        <v>0</v>
      </c>
    </row>
    <row r="100">
      <c r="A100" t="inlineStr">
        <is>
          <t>ORD-1215</t>
        </is>
      </c>
      <c r="B100" s="10" t="n">
        <v>46105</v>
      </c>
      <c r="C100" t="inlineStr">
        <is>
          <t>CUST-031</t>
        </is>
      </c>
      <c r="D100" t="inlineStr">
        <is>
          <t>Eastern</t>
        </is>
      </c>
      <c r="E100" t="inlineStr">
        <is>
          <t>Home &amp; Kitchen</t>
        </is>
      </c>
      <c r="F100" s="11" t="n">
        <v>135.96</v>
      </c>
      <c r="G100" s="11" t="n">
        <v>75.98</v>
      </c>
      <c r="H100" s="11" t="n">
        <v>15</v>
      </c>
      <c r="I100" s="11" t="n">
        <v>25.14</v>
      </c>
      <c r="J100" t="inlineStr">
        <is>
          <t>Delivered</t>
        </is>
      </c>
      <c r="K100" t="inlineStr">
        <is>
          <t>Cash on Delivery</t>
        </is>
      </c>
      <c r="L100" t="n">
        <v>2</v>
      </c>
      <c r="M100" s="11" t="n">
        <v>0</v>
      </c>
    </row>
    <row r="101">
      <c r="A101" t="inlineStr">
        <is>
          <t>ORD-1093</t>
        </is>
      </c>
      <c r="B101" s="10" t="n">
        <v>46106</v>
      </c>
      <c r="C101" t="inlineStr">
        <is>
          <t>CUST-079</t>
        </is>
      </c>
      <c r="D101" t="inlineStr">
        <is>
          <t>Greater Accra</t>
        </is>
      </c>
      <c r="E101" t="inlineStr">
        <is>
          <t>Electronics Accessories</t>
        </is>
      </c>
      <c r="F101" s="11" t="n">
        <v>131.84</v>
      </c>
      <c r="G101" s="11" t="n">
        <v>88.11</v>
      </c>
      <c r="H101" s="11" t="n">
        <v>20</v>
      </c>
      <c r="I101" s="11" t="n">
        <v>28.49</v>
      </c>
      <c r="J101" t="inlineStr">
        <is>
          <t>Delivered</t>
        </is>
      </c>
      <c r="K101" t="inlineStr">
        <is>
          <t>Mobile Money</t>
        </is>
      </c>
      <c r="L101" t="n">
        <v>1</v>
      </c>
      <c r="M101" s="11" t="n">
        <v>0</v>
      </c>
    </row>
    <row r="102">
      <c r="A102" t="inlineStr">
        <is>
          <t>ORD-1105</t>
        </is>
      </c>
      <c r="B102" s="10" t="n">
        <v>46106</v>
      </c>
      <c r="C102" t="inlineStr">
        <is>
          <t>CUST-049</t>
        </is>
      </c>
      <c r="D102" t="inlineStr">
        <is>
          <t>Northern</t>
        </is>
      </c>
      <c r="E102" t="inlineStr">
        <is>
          <t>Small Appliances</t>
        </is>
      </c>
      <c r="F102" s="11" t="n">
        <v>866.25</v>
      </c>
      <c r="G102" s="11" t="n">
        <v>590.5</v>
      </c>
      <c r="H102" s="11" t="n">
        <v>30</v>
      </c>
      <c r="I102" s="11" t="n">
        <v>46.3</v>
      </c>
      <c r="J102" t="inlineStr">
        <is>
          <t>Failed</t>
        </is>
      </c>
      <c r="K102" t="inlineStr">
        <is>
          <t>Mobile Money</t>
        </is>
      </c>
      <c r="L102" t="n">
        <v>5</v>
      </c>
      <c r="M102" s="11" t="n">
        <v>15.31</v>
      </c>
    </row>
    <row r="103">
      <c r="A103" t="inlineStr">
        <is>
          <t>ORD-1024</t>
        </is>
      </c>
      <c r="B103" s="10" t="n">
        <v>46107</v>
      </c>
      <c r="C103" t="inlineStr">
        <is>
          <t>CUST-080</t>
        </is>
      </c>
      <c r="D103" t="inlineStr">
        <is>
          <t>Greater Accra</t>
        </is>
      </c>
      <c r="E103" t="inlineStr">
        <is>
          <t>Home &amp; Kitchen</t>
        </is>
      </c>
      <c r="F103" s="11" t="n">
        <v>558.8099999999999</v>
      </c>
      <c r="G103" s="11" t="n">
        <v>318.27</v>
      </c>
      <c r="H103" s="11" t="n">
        <v>20</v>
      </c>
      <c r="I103" s="11" t="n">
        <v>27.07</v>
      </c>
      <c r="J103" t="inlineStr">
        <is>
          <t>Delivered</t>
        </is>
      </c>
      <c r="K103" t="inlineStr">
        <is>
          <t>Mobile Money</t>
        </is>
      </c>
      <c r="L103" t="n">
        <v>1</v>
      </c>
      <c r="M103" s="11" t="n">
        <v>0</v>
      </c>
    </row>
    <row r="104">
      <c r="A104" t="inlineStr">
        <is>
          <t>ORD-1078</t>
        </is>
      </c>
      <c r="B104" s="10" t="n">
        <v>46107</v>
      </c>
      <c r="C104" t="inlineStr">
        <is>
          <t>CUST-087</t>
        </is>
      </c>
      <c r="D104" t="inlineStr">
        <is>
          <t>Western</t>
        </is>
      </c>
      <c r="E104" t="inlineStr">
        <is>
          <t>Small Appliances</t>
        </is>
      </c>
      <c r="F104" s="11" t="n">
        <v>663.01</v>
      </c>
      <c r="G104" s="11" t="n">
        <v>435.6</v>
      </c>
      <c r="H104" s="11" t="n">
        <v>25</v>
      </c>
      <c r="I104" s="11" t="n">
        <v>42.72</v>
      </c>
      <c r="J104" t="inlineStr">
        <is>
          <t>Delivered</t>
        </is>
      </c>
      <c r="K104" t="inlineStr">
        <is>
          <t>Mobile Money</t>
        </is>
      </c>
      <c r="L104" t="n">
        <v>3</v>
      </c>
      <c r="M104" s="11" t="n">
        <v>0</v>
      </c>
    </row>
    <row r="105">
      <c r="A105" t="inlineStr">
        <is>
          <t>ORD-1219</t>
        </is>
      </c>
      <c r="B105" s="10" t="n">
        <v>46107</v>
      </c>
      <c r="C105" t="inlineStr">
        <is>
          <t>CUST-083</t>
        </is>
      </c>
      <c r="D105" t="inlineStr">
        <is>
          <t>Northern</t>
        </is>
      </c>
      <c r="E105" t="inlineStr">
        <is>
          <t>Electronics Accessories</t>
        </is>
      </c>
      <c r="F105" s="11" t="n">
        <v>448.83</v>
      </c>
      <c r="G105" s="11" t="n">
        <v>263.37</v>
      </c>
      <c r="H105" s="11" t="n">
        <v>30</v>
      </c>
      <c r="I105" s="11" t="n">
        <v>49.25</v>
      </c>
      <c r="J105" t="inlineStr">
        <is>
          <t>Delivered</t>
        </is>
      </c>
      <c r="K105" t="inlineStr">
        <is>
          <t>Mobile Money</t>
        </is>
      </c>
      <c r="L105" t="n">
        <v>3</v>
      </c>
      <c r="M105" s="11" t="n">
        <v>0</v>
      </c>
    </row>
    <row r="106">
      <c r="A106" t="inlineStr">
        <is>
          <t>ORD-1074</t>
        </is>
      </c>
      <c r="B106" s="10" t="n">
        <v>46108</v>
      </c>
      <c r="C106" t="inlineStr">
        <is>
          <t>CUST-071</t>
        </is>
      </c>
      <c r="D106" t="inlineStr">
        <is>
          <t>Greater Accra</t>
        </is>
      </c>
      <c r="E106" t="inlineStr">
        <is>
          <t>Stationery</t>
        </is>
      </c>
      <c r="F106" s="11" t="n">
        <v>77.23999999999999</v>
      </c>
      <c r="G106" s="11" t="n">
        <v>40</v>
      </c>
      <c r="H106" s="11" t="n">
        <v>15</v>
      </c>
      <c r="I106" s="11" t="n">
        <v>26.81</v>
      </c>
      <c r="J106" t="inlineStr">
        <is>
          <t>Delivered</t>
        </is>
      </c>
      <c r="K106" t="inlineStr">
        <is>
          <t>Mobile Money</t>
        </is>
      </c>
      <c r="L106" t="n">
        <v>2</v>
      </c>
      <c r="M106" s="11" t="n">
        <v>0</v>
      </c>
    </row>
    <row r="107">
      <c r="A107" t="inlineStr">
        <is>
          <t>ORD-1180</t>
        </is>
      </c>
      <c r="B107" s="10" t="n">
        <v>46108</v>
      </c>
      <c r="C107" t="inlineStr">
        <is>
          <t>CUST-061</t>
        </is>
      </c>
      <c r="D107" t="inlineStr">
        <is>
          <t>Western</t>
        </is>
      </c>
      <c r="E107" t="inlineStr">
        <is>
          <t>Personal Care</t>
        </is>
      </c>
      <c r="F107" s="11" t="n">
        <v>65.95999999999999</v>
      </c>
      <c r="G107" s="11" t="n">
        <v>36.99</v>
      </c>
      <c r="H107" s="11" t="n">
        <v>15</v>
      </c>
      <c r="I107" s="11" t="n">
        <v>27.28</v>
      </c>
      <c r="J107" t="inlineStr">
        <is>
          <t>Delivered</t>
        </is>
      </c>
      <c r="K107" t="inlineStr">
        <is>
          <t>Mobile Money</t>
        </is>
      </c>
      <c r="L107" t="n">
        <v>3</v>
      </c>
      <c r="M107" s="11" t="n">
        <v>0</v>
      </c>
    </row>
    <row r="108">
      <c r="A108" t="inlineStr">
        <is>
          <t>ORD-1221</t>
        </is>
      </c>
      <c r="B108" s="10" t="n">
        <v>46108</v>
      </c>
      <c r="C108" t="inlineStr">
        <is>
          <t>CUST-039</t>
        </is>
      </c>
      <c r="D108" t="inlineStr">
        <is>
          <t>Eastern</t>
        </is>
      </c>
      <c r="E108" t="inlineStr">
        <is>
          <t>Small Appliances</t>
        </is>
      </c>
      <c r="F108" s="11" t="n">
        <v>170.7</v>
      </c>
      <c r="G108" s="11" t="n">
        <v>131.22</v>
      </c>
      <c r="H108" s="11" t="n">
        <v>10</v>
      </c>
      <c r="I108" s="11" t="n">
        <v>23.47</v>
      </c>
      <c r="J108" t="inlineStr">
        <is>
          <t>Delivered</t>
        </is>
      </c>
      <c r="K108" t="inlineStr">
        <is>
          <t>Card</t>
        </is>
      </c>
      <c r="L108" t="n">
        <v>2</v>
      </c>
      <c r="M108" s="11" t="n">
        <v>0</v>
      </c>
    </row>
    <row r="109">
      <c r="A109" t="inlineStr">
        <is>
          <t>ORD-1090</t>
        </is>
      </c>
      <c r="B109" s="10" t="n">
        <v>46109</v>
      </c>
      <c r="C109" t="inlineStr">
        <is>
          <t>CUST-015</t>
        </is>
      </c>
      <c r="D109" t="inlineStr">
        <is>
          <t>Northern</t>
        </is>
      </c>
      <c r="E109" t="inlineStr">
        <is>
          <t>Home &amp; Kitchen</t>
        </is>
      </c>
      <c r="F109" s="11" t="n">
        <v>95.18000000000001</v>
      </c>
      <c r="G109" s="11" t="n">
        <v>54.8</v>
      </c>
      <c r="H109" s="11" t="n">
        <v>15</v>
      </c>
      <c r="I109" s="11" t="n">
        <v>35.6</v>
      </c>
      <c r="J109" t="inlineStr">
        <is>
          <t>Delivered</t>
        </is>
      </c>
      <c r="K109" t="inlineStr">
        <is>
          <t>Bank Transfer</t>
        </is>
      </c>
      <c r="L109" t="n">
        <v>6</v>
      </c>
      <c r="M109" s="11" t="n">
        <v>0</v>
      </c>
    </row>
    <row r="110">
      <c r="A110" t="inlineStr">
        <is>
          <t>ORD-1112</t>
        </is>
      </c>
      <c r="B110" s="10" t="n">
        <v>46109</v>
      </c>
      <c r="C110" t="inlineStr">
        <is>
          <t>CUST-045</t>
        </is>
      </c>
      <c r="D110" t="inlineStr">
        <is>
          <t>Greater Accra</t>
        </is>
      </c>
      <c r="E110" t="inlineStr">
        <is>
          <t>Electronics Accessories</t>
        </is>
      </c>
      <c r="F110" s="11" t="n">
        <v>793.29</v>
      </c>
      <c r="G110" s="11" t="n">
        <v>493.38</v>
      </c>
      <c r="H110" s="11" t="n">
        <v>25</v>
      </c>
      <c r="I110" s="11" t="n">
        <v>27.7</v>
      </c>
      <c r="J110" t="inlineStr">
        <is>
          <t>Delivered</t>
        </is>
      </c>
      <c r="K110" t="inlineStr">
        <is>
          <t>Bank Transfer</t>
        </is>
      </c>
      <c r="L110" t="n">
        <v>2</v>
      </c>
      <c r="M110" s="11" t="n">
        <v>0</v>
      </c>
    </row>
    <row r="111">
      <c r="A111" t="inlineStr">
        <is>
          <t>ORD-1179</t>
        </is>
      </c>
      <c r="B111" s="10" t="n">
        <v>46109</v>
      </c>
      <c r="C111" t="inlineStr">
        <is>
          <t>CUST-072</t>
        </is>
      </c>
      <c r="D111" t="inlineStr">
        <is>
          <t>Western</t>
        </is>
      </c>
      <c r="E111" t="inlineStr">
        <is>
          <t>Small Appliances</t>
        </is>
      </c>
      <c r="F111" s="11" t="n">
        <v>1169.2</v>
      </c>
      <c r="G111" s="11" t="n">
        <v>743.41</v>
      </c>
      <c r="H111" s="11" t="n">
        <v>30</v>
      </c>
      <c r="I111" s="11" t="n">
        <v>43.01</v>
      </c>
      <c r="J111" t="inlineStr">
        <is>
          <t>Delivered</t>
        </is>
      </c>
      <c r="K111" t="inlineStr">
        <is>
          <t>Mobile Money</t>
        </is>
      </c>
      <c r="L111" t="n">
        <v>4</v>
      </c>
      <c r="M111" s="11" t="n">
        <v>0</v>
      </c>
    </row>
    <row r="112">
      <c r="A112" t="inlineStr">
        <is>
          <t>ORD-1045</t>
        </is>
      </c>
      <c r="B112" s="10" t="n">
        <v>46110</v>
      </c>
      <c r="C112" t="inlineStr">
        <is>
          <t>CUST-002</t>
        </is>
      </c>
      <c r="D112" t="inlineStr">
        <is>
          <t>Greater Accra</t>
        </is>
      </c>
      <c r="E112" t="inlineStr">
        <is>
          <t>Stationery</t>
        </is>
      </c>
      <c r="F112" s="11" t="n">
        <v>150.68</v>
      </c>
      <c r="G112" s="11" t="n">
        <v>55.6</v>
      </c>
      <c r="H112" s="11" t="n">
        <v>20</v>
      </c>
      <c r="I112" s="11" t="n">
        <v>28.36</v>
      </c>
      <c r="J112" t="inlineStr">
        <is>
          <t>Delivered</t>
        </is>
      </c>
      <c r="K112" t="inlineStr">
        <is>
          <t>Cash on Delivery</t>
        </is>
      </c>
      <c r="L112" t="n">
        <v>2</v>
      </c>
      <c r="M112" s="11" t="n">
        <v>0</v>
      </c>
    </row>
    <row r="113">
      <c r="A113" t="inlineStr">
        <is>
          <t>ORD-1022</t>
        </is>
      </c>
      <c r="B113" s="10" t="n">
        <v>46111</v>
      </c>
      <c r="C113" t="inlineStr">
        <is>
          <t>CUST-041</t>
        </is>
      </c>
      <c r="D113" t="inlineStr">
        <is>
          <t>Central</t>
        </is>
      </c>
      <c r="E113" t="inlineStr">
        <is>
          <t>Home &amp; Kitchen</t>
        </is>
      </c>
      <c r="F113" s="11" t="n">
        <v>640.54</v>
      </c>
      <c r="G113" s="11" t="n">
        <v>295.17</v>
      </c>
      <c r="H113" s="11" t="n">
        <v>30</v>
      </c>
      <c r="I113" s="11" t="n">
        <v>38.9</v>
      </c>
      <c r="J113" t="inlineStr">
        <is>
          <t>Delivered</t>
        </is>
      </c>
      <c r="K113" t="inlineStr">
        <is>
          <t>Mobile Money</t>
        </is>
      </c>
      <c r="L113" t="n">
        <v>2</v>
      </c>
      <c r="M113" s="11" t="n">
        <v>0</v>
      </c>
    </row>
    <row r="114">
      <c r="A114" t="inlineStr">
        <is>
          <t>ORD-1238</t>
        </is>
      </c>
      <c r="B114" s="10" t="n">
        <v>46111</v>
      </c>
      <c r="C114" t="inlineStr">
        <is>
          <t>CUST-007</t>
        </is>
      </c>
      <c r="D114" t="inlineStr">
        <is>
          <t>Eastern</t>
        </is>
      </c>
      <c r="E114" t="inlineStr">
        <is>
          <t>Electronics Accessories</t>
        </is>
      </c>
      <c r="F114" s="11" t="n">
        <v>270.36</v>
      </c>
      <c r="G114" s="11" t="n">
        <v>144.29</v>
      </c>
      <c r="H114" s="11" t="n">
        <v>30</v>
      </c>
      <c r="I114" s="11" t="n">
        <v>43.69</v>
      </c>
      <c r="J114" t="inlineStr">
        <is>
          <t>Failed</t>
        </is>
      </c>
      <c r="K114" t="inlineStr">
        <is>
          <t>Mobile Money</t>
        </is>
      </c>
      <c r="L114" t="n">
        <v>7</v>
      </c>
      <c r="M114" s="11" t="n">
        <v>8.5</v>
      </c>
    </row>
    <row r="115">
      <c r="A115" t="inlineStr">
        <is>
          <t>ORD-1110</t>
        </is>
      </c>
      <c r="B115" s="10" t="n">
        <v>46112</v>
      </c>
      <c r="C115" t="inlineStr">
        <is>
          <t>CUST-072</t>
        </is>
      </c>
      <c r="D115" t="inlineStr">
        <is>
          <t>Western</t>
        </is>
      </c>
      <c r="E115" t="inlineStr">
        <is>
          <t>Home &amp; Kitchen</t>
        </is>
      </c>
      <c r="F115" s="11" t="n">
        <v>507.56</v>
      </c>
      <c r="G115" s="11" t="n">
        <v>275.78</v>
      </c>
      <c r="H115" s="11" t="n">
        <v>25</v>
      </c>
      <c r="I115" s="11" t="n">
        <v>42.45</v>
      </c>
      <c r="J115" t="inlineStr">
        <is>
          <t>Returned</t>
        </is>
      </c>
      <c r="K115" t="inlineStr">
        <is>
          <t>Card</t>
        </is>
      </c>
      <c r="L115" t="n">
        <v>5</v>
      </c>
      <c r="M115" s="11" t="n">
        <v>19.47</v>
      </c>
    </row>
    <row r="116">
      <c r="A116" t="inlineStr">
        <is>
          <t>ORD-1122</t>
        </is>
      </c>
      <c r="B116" s="10" t="n">
        <v>46112</v>
      </c>
      <c r="C116" t="inlineStr">
        <is>
          <t>CUST-045</t>
        </is>
      </c>
      <c r="D116" t="inlineStr">
        <is>
          <t>Greater Accra</t>
        </is>
      </c>
      <c r="E116" t="inlineStr">
        <is>
          <t>Stationery</t>
        </is>
      </c>
      <c r="F116" s="11" t="n">
        <v>150.13</v>
      </c>
      <c r="G116" s="11" t="n">
        <v>74.56999999999999</v>
      </c>
      <c r="H116" s="11" t="n">
        <v>15</v>
      </c>
      <c r="I116" s="11" t="n">
        <v>18.03</v>
      </c>
      <c r="J116" t="inlineStr">
        <is>
          <t>Delivered</t>
        </is>
      </c>
      <c r="K116" t="inlineStr">
        <is>
          <t>Mobile Money</t>
        </is>
      </c>
      <c r="L116" t="n">
        <v>1</v>
      </c>
      <c r="M116" s="11" t="n">
        <v>0</v>
      </c>
    </row>
    <row r="117">
      <c r="A117" t="inlineStr">
        <is>
          <t>ORD-1210</t>
        </is>
      </c>
      <c r="B117" s="10" t="n">
        <v>46112</v>
      </c>
      <c r="C117" t="inlineStr">
        <is>
          <t>CUST-016</t>
        </is>
      </c>
      <c r="D117" t="inlineStr">
        <is>
          <t>Northern</t>
        </is>
      </c>
      <c r="E117" t="inlineStr">
        <is>
          <t>Electronics Accessories</t>
        </is>
      </c>
      <c r="F117" s="11" t="n">
        <v>520.55</v>
      </c>
      <c r="G117" s="11" t="n">
        <v>320.24</v>
      </c>
      <c r="H117" s="11" t="n">
        <v>15</v>
      </c>
      <c r="I117" s="11" t="n">
        <v>35.35</v>
      </c>
      <c r="J117" t="inlineStr">
        <is>
          <t>Failed</t>
        </is>
      </c>
      <c r="K117" t="inlineStr">
        <is>
          <t>Bank Transfer</t>
        </is>
      </c>
      <c r="L117" t="n">
        <v>9</v>
      </c>
      <c r="M117" s="11" t="n">
        <v>19.45</v>
      </c>
    </row>
    <row r="118">
      <c r="A118" t="inlineStr">
        <is>
          <t>ORD-1223</t>
        </is>
      </c>
      <c r="B118" s="10" t="n">
        <v>46114</v>
      </c>
      <c r="C118" t="inlineStr">
        <is>
          <t>CUST-040</t>
        </is>
      </c>
      <c r="D118" t="inlineStr">
        <is>
          <t>Northern</t>
        </is>
      </c>
      <c r="E118" t="inlineStr">
        <is>
          <t>Home &amp; Kitchen</t>
        </is>
      </c>
      <c r="F118" s="11" t="n">
        <v>357.69</v>
      </c>
      <c r="G118" s="11" t="n">
        <v>189.4</v>
      </c>
      <c r="H118" s="11" t="n">
        <v>10</v>
      </c>
      <c r="I118" s="11" t="n">
        <v>30.03</v>
      </c>
      <c r="J118" t="inlineStr">
        <is>
          <t>Delivered</t>
        </is>
      </c>
      <c r="K118" t="inlineStr">
        <is>
          <t>Cash on Delivery</t>
        </is>
      </c>
      <c r="L118" t="n">
        <v>4</v>
      </c>
      <c r="M118" s="11" t="n">
        <v>0</v>
      </c>
    </row>
    <row r="119">
      <c r="A119" t="inlineStr">
        <is>
          <t>ORD-1102</t>
        </is>
      </c>
      <c r="B119" s="10" t="n">
        <v>46115</v>
      </c>
      <c r="C119" t="inlineStr">
        <is>
          <t>CUST-066</t>
        </is>
      </c>
      <c r="D119" t="inlineStr">
        <is>
          <t>Central</t>
        </is>
      </c>
      <c r="E119" t="inlineStr">
        <is>
          <t>Personal Care</t>
        </is>
      </c>
      <c r="F119" s="11" t="n">
        <v>149.3</v>
      </c>
      <c r="G119" s="11" t="n">
        <v>65.67</v>
      </c>
      <c r="H119" s="11" t="n">
        <v>30</v>
      </c>
      <c r="I119" s="11" t="n">
        <v>37.43</v>
      </c>
      <c r="J119" t="inlineStr">
        <is>
          <t>Delivered</t>
        </is>
      </c>
      <c r="K119" t="inlineStr">
        <is>
          <t>Card</t>
        </is>
      </c>
      <c r="L119" t="n">
        <v>4</v>
      </c>
      <c r="M119" s="11" t="n">
        <v>0</v>
      </c>
    </row>
    <row r="120">
      <c r="A120" t="inlineStr">
        <is>
          <t>ORD-1147</t>
        </is>
      </c>
      <c r="B120" s="10" t="n">
        <v>46115</v>
      </c>
      <c r="C120" t="inlineStr">
        <is>
          <t>CUST-009</t>
        </is>
      </c>
      <c r="D120" t="inlineStr">
        <is>
          <t>Ashanti</t>
        </is>
      </c>
      <c r="E120" t="inlineStr">
        <is>
          <t>Small Appliances</t>
        </is>
      </c>
      <c r="F120" s="11" t="n">
        <v>884.51</v>
      </c>
      <c r="G120" s="11" t="n">
        <v>655.91</v>
      </c>
      <c r="H120" s="11" t="n">
        <v>30</v>
      </c>
      <c r="I120" s="11" t="n">
        <v>40.54</v>
      </c>
      <c r="J120" t="inlineStr">
        <is>
          <t>Delivered</t>
        </is>
      </c>
      <c r="K120" t="inlineStr">
        <is>
          <t>Mobile Money</t>
        </is>
      </c>
      <c r="L120" t="n">
        <v>3</v>
      </c>
      <c r="M120" s="11" t="n">
        <v>0</v>
      </c>
    </row>
    <row r="121">
      <c r="A121" t="inlineStr">
        <is>
          <t>ORD-1164</t>
        </is>
      </c>
      <c r="B121" s="10" t="n">
        <v>46115</v>
      </c>
      <c r="C121" t="inlineStr">
        <is>
          <t>CUST-071</t>
        </is>
      </c>
      <c r="D121" t="inlineStr">
        <is>
          <t>Greater Accra</t>
        </is>
      </c>
      <c r="E121" t="inlineStr">
        <is>
          <t>Personal Care</t>
        </is>
      </c>
      <c r="F121" s="11" t="n">
        <v>153.54</v>
      </c>
      <c r="G121" s="11" t="n">
        <v>88.58</v>
      </c>
      <c r="H121" s="11" t="n">
        <v>15</v>
      </c>
      <c r="I121" s="11" t="n">
        <v>23.12</v>
      </c>
      <c r="J121" t="inlineStr">
        <is>
          <t>Delivered</t>
        </is>
      </c>
      <c r="K121" t="inlineStr">
        <is>
          <t>Mobile Money</t>
        </is>
      </c>
      <c r="L121" t="n">
        <v>3</v>
      </c>
      <c r="M121" s="11" t="n">
        <v>0</v>
      </c>
    </row>
    <row r="122">
      <c r="A122" t="inlineStr">
        <is>
          <t>ORD-1158</t>
        </is>
      </c>
      <c r="B122" s="10" t="n">
        <v>46116</v>
      </c>
      <c r="C122" t="inlineStr">
        <is>
          <t>CUST-047</t>
        </is>
      </c>
      <c r="D122" t="inlineStr">
        <is>
          <t>Greater Accra</t>
        </is>
      </c>
      <c r="E122" t="inlineStr">
        <is>
          <t>Home &amp; Kitchen</t>
        </is>
      </c>
      <c r="F122" s="11" t="n">
        <v>390.35</v>
      </c>
      <c r="G122" s="11" t="n">
        <v>214.27</v>
      </c>
      <c r="H122" s="11" t="n">
        <v>25</v>
      </c>
      <c r="I122" s="11" t="n">
        <v>36.49</v>
      </c>
      <c r="J122" t="inlineStr">
        <is>
          <t>Delivered</t>
        </is>
      </c>
      <c r="K122" t="inlineStr">
        <is>
          <t>Cash on Delivery</t>
        </is>
      </c>
      <c r="L122" t="n">
        <v>3</v>
      </c>
      <c r="M122" s="11" t="n">
        <v>0</v>
      </c>
    </row>
    <row r="123">
      <c r="A123" t="inlineStr">
        <is>
          <t>ORD-1249</t>
        </is>
      </c>
      <c r="B123" s="10" t="n">
        <v>46116</v>
      </c>
      <c r="C123" t="inlineStr">
        <is>
          <t>CUST-015</t>
        </is>
      </c>
      <c r="D123" t="inlineStr">
        <is>
          <t>Northern</t>
        </is>
      </c>
      <c r="E123" t="inlineStr">
        <is>
          <t>Small Appliances</t>
        </is>
      </c>
      <c r="F123" s="11" t="n">
        <v>419.73</v>
      </c>
      <c r="G123" s="11" t="n">
        <v>327.18</v>
      </c>
      <c r="H123" s="11" t="n">
        <v>15</v>
      </c>
      <c r="I123" s="11" t="n">
        <v>33.82</v>
      </c>
      <c r="J123" t="inlineStr">
        <is>
          <t>Delivered</t>
        </is>
      </c>
      <c r="K123" t="inlineStr">
        <is>
          <t>Bank Transfer</t>
        </is>
      </c>
      <c r="L123" t="n">
        <v>4</v>
      </c>
      <c r="M123" s="11" t="n">
        <v>0</v>
      </c>
    </row>
    <row r="124">
      <c r="A124" t="inlineStr">
        <is>
          <t>ORD-1182</t>
        </is>
      </c>
      <c r="B124" s="10" t="n">
        <v>46117</v>
      </c>
      <c r="C124" t="inlineStr">
        <is>
          <t>CUST-043</t>
        </is>
      </c>
      <c r="D124" t="inlineStr">
        <is>
          <t>Greater Accra</t>
        </is>
      </c>
      <c r="E124" t="inlineStr">
        <is>
          <t>Personal Care</t>
        </is>
      </c>
      <c r="F124" s="11" t="n">
        <v>294.47</v>
      </c>
      <c r="G124" s="11" t="n">
        <v>148.73</v>
      </c>
      <c r="H124" s="11" t="n">
        <v>10</v>
      </c>
      <c r="I124" s="11" t="n">
        <v>17.97</v>
      </c>
      <c r="J124" t="inlineStr">
        <is>
          <t>Delivered</t>
        </is>
      </c>
      <c r="K124" t="inlineStr">
        <is>
          <t>Cash on Delivery</t>
        </is>
      </c>
      <c r="L124" t="n">
        <v>2</v>
      </c>
      <c r="M124" s="11" t="n">
        <v>0</v>
      </c>
    </row>
    <row r="125">
      <c r="A125" t="inlineStr">
        <is>
          <t>ORD-1202</t>
        </is>
      </c>
      <c r="B125" s="10" t="n">
        <v>46117</v>
      </c>
      <c r="C125" t="inlineStr">
        <is>
          <t>CUST-079</t>
        </is>
      </c>
      <c r="D125" t="inlineStr">
        <is>
          <t>Greater Accra</t>
        </is>
      </c>
      <c r="E125" t="inlineStr">
        <is>
          <t>Electronics Accessories</t>
        </is>
      </c>
      <c r="F125" s="11" t="n">
        <v>865.04</v>
      </c>
      <c r="G125" s="11" t="n">
        <v>524.28</v>
      </c>
      <c r="H125" s="11" t="n">
        <v>25</v>
      </c>
      <c r="I125" s="11" t="n">
        <v>34.48</v>
      </c>
      <c r="J125" t="inlineStr">
        <is>
          <t>Delivered</t>
        </is>
      </c>
      <c r="K125" t="inlineStr">
        <is>
          <t>Mobile Money</t>
        </is>
      </c>
      <c r="L125" t="n">
        <v>2</v>
      </c>
      <c r="M125" s="11" t="n">
        <v>0</v>
      </c>
    </row>
    <row r="126">
      <c r="A126" t="inlineStr">
        <is>
          <t>ORD-1142</t>
        </is>
      </c>
      <c r="B126" s="10" t="n">
        <v>46118</v>
      </c>
      <c r="C126" t="inlineStr">
        <is>
          <t>CUST-029</t>
        </is>
      </c>
      <c r="D126" t="inlineStr">
        <is>
          <t>Eastern</t>
        </is>
      </c>
      <c r="E126" t="inlineStr">
        <is>
          <t>Electronics Accessories</t>
        </is>
      </c>
      <c r="F126" s="11" t="n">
        <v>843.28</v>
      </c>
      <c r="G126" s="11" t="n">
        <v>565.88</v>
      </c>
      <c r="H126" s="11" t="n">
        <v>20</v>
      </c>
      <c r="I126" s="11" t="n">
        <v>33.91</v>
      </c>
      <c r="J126" t="inlineStr">
        <is>
          <t>Delivered</t>
        </is>
      </c>
      <c r="K126" t="inlineStr">
        <is>
          <t>Mobile Money</t>
        </is>
      </c>
      <c r="L126" t="n">
        <v>3</v>
      </c>
      <c r="M126" s="11" t="n">
        <v>0</v>
      </c>
    </row>
    <row r="127">
      <c r="A127" t="inlineStr">
        <is>
          <t>ORD-1043</t>
        </is>
      </c>
      <c r="B127" s="10" t="n">
        <v>46119</v>
      </c>
      <c r="C127" t="inlineStr">
        <is>
          <t>CUST-051</t>
        </is>
      </c>
      <c r="D127" t="inlineStr">
        <is>
          <t>Ashanti</t>
        </is>
      </c>
      <c r="E127" t="inlineStr">
        <is>
          <t>Small Appliances</t>
        </is>
      </c>
      <c r="F127" s="11" t="n">
        <v>417.75</v>
      </c>
      <c r="G127" s="11" t="n">
        <v>295.17</v>
      </c>
      <c r="H127" s="11" t="n">
        <v>15</v>
      </c>
      <c r="I127" s="11" t="n">
        <v>21.02</v>
      </c>
      <c r="J127" t="inlineStr">
        <is>
          <t>Delivered</t>
        </is>
      </c>
      <c r="K127" t="inlineStr">
        <is>
          <t>Card</t>
        </is>
      </c>
      <c r="L127" t="n">
        <v>2</v>
      </c>
      <c r="M127" s="11" t="n">
        <v>0</v>
      </c>
    </row>
    <row r="128">
      <c r="A128" t="inlineStr">
        <is>
          <t>ORD-1243</t>
        </is>
      </c>
      <c r="B128" s="10" t="n">
        <v>46121</v>
      </c>
      <c r="C128" t="inlineStr">
        <is>
          <t>CUST-002</t>
        </is>
      </c>
      <c r="D128" t="inlineStr">
        <is>
          <t>Greater Accra</t>
        </is>
      </c>
      <c r="E128" t="inlineStr">
        <is>
          <t>Home &amp; Kitchen</t>
        </is>
      </c>
      <c r="F128" s="11" t="n">
        <v>282.68</v>
      </c>
      <c r="G128" s="11" t="n">
        <v>128.69</v>
      </c>
      <c r="H128" s="11" t="n">
        <v>30</v>
      </c>
      <c r="I128" s="11" t="n">
        <v>41.05</v>
      </c>
      <c r="J128" t="inlineStr">
        <is>
          <t>Returned</t>
        </is>
      </c>
      <c r="K128" t="inlineStr">
        <is>
          <t>Cash on Delivery</t>
        </is>
      </c>
      <c r="L128" t="n">
        <v>2</v>
      </c>
      <c r="M128" s="11" t="n">
        <v>19.65</v>
      </c>
    </row>
    <row r="129">
      <c r="A129" t="inlineStr">
        <is>
          <t>ORD-1237</t>
        </is>
      </c>
      <c r="B129" s="10" t="n">
        <v>46122</v>
      </c>
      <c r="C129" t="inlineStr">
        <is>
          <t>CUST-087</t>
        </is>
      </c>
      <c r="D129" t="inlineStr">
        <is>
          <t>Western</t>
        </is>
      </c>
      <c r="E129" t="inlineStr">
        <is>
          <t>Small Appliances</t>
        </is>
      </c>
      <c r="F129" s="11" t="n">
        <v>597.84</v>
      </c>
      <c r="G129" s="11" t="n">
        <v>440.02</v>
      </c>
      <c r="H129" s="11" t="n">
        <v>15</v>
      </c>
      <c r="I129" s="11" t="n">
        <v>31.9</v>
      </c>
      <c r="J129" t="inlineStr">
        <is>
          <t>Delivered</t>
        </is>
      </c>
      <c r="K129" t="inlineStr">
        <is>
          <t>Mobile Money</t>
        </is>
      </c>
      <c r="L129" t="n">
        <v>2</v>
      </c>
      <c r="M129" s="11" t="n">
        <v>0</v>
      </c>
    </row>
    <row r="130">
      <c r="A130" t="inlineStr">
        <is>
          <t>ORD-1175</t>
        </is>
      </c>
      <c r="B130" s="10" t="n">
        <v>46123</v>
      </c>
      <c r="C130" t="inlineStr">
        <is>
          <t>CUST-065</t>
        </is>
      </c>
      <c r="D130" t="inlineStr">
        <is>
          <t>Eastern</t>
        </is>
      </c>
      <c r="E130" t="inlineStr">
        <is>
          <t>Home &amp; Kitchen</t>
        </is>
      </c>
      <c r="F130" s="11" t="n">
        <v>194.44</v>
      </c>
      <c r="G130" s="11" t="n">
        <v>105.97</v>
      </c>
      <c r="H130" s="11" t="n">
        <v>10</v>
      </c>
      <c r="I130" s="11" t="n">
        <v>16.51</v>
      </c>
      <c r="J130" t="inlineStr">
        <is>
          <t>Delivered</t>
        </is>
      </c>
      <c r="K130" t="inlineStr">
        <is>
          <t>Card</t>
        </is>
      </c>
      <c r="L130" t="n">
        <v>1</v>
      </c>
      <c r="M130" s="11" t="n">
        <v>0</v>
      </c>
    </row>
    <row r="131">
      <c r="A131" t="inlineStr">
        <is>
          <t>ORD-1121</t>
        </is>
      </c>
      <c r="B131" s="10" t="n">
        <v>46124</v>
      </c>
      <c r="C131" t="inlineStr">
        <is>
          <t>CUST-040</t>
        </is>
      </c>
      <c r="D131" t="inlineStr">
        <is>
          <t>Northern</t>
        </is>
      </c>
      <c r="E131" t="inlineStr">
        <is>
          <t>Stationery</t>
        </is>
      </c>
      <c r="F131" s="11" t="n">
        <v>51.56</v>
      </c>
      <c r="G131" s="11" t="n">
        <v>25.28</v>
      </c>
      <c r="H131" s="11" t="n">
        <v>10</v>
      </c>
      <c r="I131" s="11" t="n">
        <v>27.1</v>
      </c>
      <c r="J131" t="inlineStr">
        <is>
          <t>Delivered</t>
        </is>
      </c>
      <c r="K131" t="inlineStr">
        <is>
          <t>Cash on Delivery</t>
        </is>
      </c>
      <c r="L131" t="n">
        <v>4</v>
      </c>
      <c r="M131" s="11" t="n">
        <v>0</v>
      </c>
    </row>
    <row r="132">
      <c r="A132" t="inlineStr">
        <is>
          <t>ORD-1232</t>
        </is>
      </c>
      <c r="B132" s="10" t="n">
        <v>46124</v>
      </c>
      <c r="C132" t="inlineStr">
        <is>
          <t>CUST-011</t>
        </is>
      </c>
      <c r="D132" t="inlineStr">
        <is>
          <t>Greater Accra</t>
        </is>
      </c>
      <c r="E132" t="inlineStr">
        <is>
          <t>Home &amp; Kitchen</t>
        </is>
      </c>
      <c r="F132" s="11" t="n">
        <v>293.62</v>
      </c>
      <c r="G132" s="11" t="n">
        <v>159.05</v>
      </c>
      <c r="H132" s="11" t="n">
        <v>15</v>
      </c>
      <c r="I132" s="11" t="n">
        <v>20</v>
      </c>
      <c r="J132" t="inlineStr">
        <is>
          <t>Delivered</t>
        </is>
      </c>
      <c r="K132" t="inlineStr">
        <is>
          <t>Mobile Money</t>
        </is>
      </c>
      <c r="L132" t="n">
        <v>2</v>
      </c>
      <c r="M132" s="11" t="n">
        <v>0</v>
      </c>
    </row>
    <row r="133">
      <c r="A133" t="inlineStr">
        <is>
          <t>ORD-1067</t>
        </is>
      </c>
      <c r="B133" s="10" t="n">
        <v>46125</v>
      </c>
      <c r="C133" t="inlineStr">
        <is>
          <t>CUST-071</t>
        </is>
      </c>
      <c r="D133" t="inlineStr">
        <is>
          <t>Greater Accra</t>
        </is>
      </c>
      <c r="E133" t="inlineStr">
        <is>
          <t>Electronics Accessories</t>
        </is>
      </c>
      <c r="F133" s="11" t="n">
        <v>152.21</v>
      </c>
      <c r="G133" s="11" t="n">
        <v>86.06</v>
      </c>
      <c r="H133" s="11" t="n">
        <v>10</v>
      </c>
      <c r="I133" s="11" t="n">
        <v>21.7</v>
      </c>
      <c r="J133" t="inlineStr">
        <is>
          <t>Delivered</t>
        </is>
      </c>
      <c r="K133" t="inlineStr">
        <is>
          <t>Cash on Delivery</t>
        </is>
      </c>
      <c r="L133" t="n">
        <v>1</v>
      </c>
      <c r="M133" s="11" t="n">
        <v>0</v>
      </c>
    </row>
    <row r="134">
      <c r="A134" t="inlineStr">
        <is>
          <t>ORD-1177</t>
        </is>
      </c>
      <c r="B134" s="10" t="n">
        <v>46126</v>
      </c>
      <c r="C134" t="inlineStr">
        <is>
          <t>CUST-047</t>
        </is>
      </c>
      <c r="D134" t="inlineStr">
        <is>
          <t>Greater Accra</t>
        </is>
      </c>
      <c r="E134" t="inlineStr">
        <is>
          <t>Electronics Accessories</t>
        </is>
      </c>
      <c r="F134" s="11" t="n">
        <v>121.95</v>
      </c>
      <c r="G134" s="11" t="n">
        <v>75.75</v>
      </c>
      <c r="H134" s="11" t="n">
        <v>20</v>
      </c>
      <c r="I134" s="11" t="n">
        <v>27.53</v>
      </c>
      <c r="J134" t="inlineStr">
        <is>
          <t>Delivered</t>
        </is>
      </c>
      <c r="K134" t="inlineStr">
        <is>
          <t>Cash on Delivery</t>
        </is>
      </c>
      <c r="L134" t="n">
        <v>2</v>
      </c>
      <c r="M134" s="11" t="n">
        <v>0</v>
      </c>
    </row>
    <row r="135">
      <c r="A135" t="inlineStr">
        <is>
          <t>ORD-1075</t>
        </is>
      </c>
      <c r="B135" s="10" t="n">
        <v>46128</v>
      </c>
      <c r="C135" t="inlineStr">
        <is>
          <t>CUST-006</t>
        </is>
      </c>
      <c r="D135" t="inlineStr">
        <is>
          <t>Central</t>
        </is>
      </c>
      <c r="E135" t="inlineStr">
        <is>
          <t>Home &amp; Kitchen</t>
        </is>
      </c>
      <c r="F135" s="11" t="n">
        <v>333.79</v>
      </c>
      <c r="G135" s="11" t="n">
        <v>201.75</v>
      </c>
      <c r="H135" s="11" t="n">
        <v>25</v>
      </c>
      <c r="I135" s="11" t="n">
        <v>35.86</v>
      </c>
      <c r="J135" t="inlineStr">
        <is>
          <t>Delivered</t>
        </is>
      </c>
      <c r="K135" t="inlineStr">
        <is>
          <t>Card</t>
        </is>
      </c>
      <c r="L135" t="n">
        <v>4</v>
      </c>
      <c r="M135" s="11" t="n">
        <v>0</v>
      </c>
    </row>
    <row r="136">
      <c r="A136" t="inlineStr">
        <is>
          <t>ORD-1230</t>
        </is>
      </c>
      <c r="B136" s="10" t="n">
        <v>46128</v>
      </c>
      <c r="C136" t="inlineStr">
        <is>
          <t>CUST-002</t>
        </is>
      </c>
      <c r="D136" t="inlineStr">
        <is>
          <t>Greater Accra</t>
        </is>
      </c>
      <c r="E136" t="inlineStr">
        <is>
          <t>Electronics Accessories</t>
        </is>
      </c>
      <c r="F136" s="11" t="n">
        <v>672.2</v>
      </c>
      <c r="G136" s="11" t="n">
        <v>414.37</v>
      </c>
      <c r="H136" s="11" t="n">
        <v>20</v>
      </c>
      <c r="I136" s="11" t="n">
        <v>22.17</v>
      </c>
      <c r="J136" t="inlineStr">
        <is>
          <t>Delivered</t>
        </is>
      </c>
      <c r="K136" t="inlineStr">
        <is>
          <t>Cash on Delivery</t>
        </is>
      </c>
      <c r="L136" t="n">
        <v>1</v>
      </c>
      <c r="M136" s="11" t="n">
        <v>0</v>
      </c>
    </row>
    <row r="137">
      <c r="A137" t="inlineStr">
        <is>
          <t>ORD-1035</t>
        </is>
      </c>
      <c r="B137" s="10" t="n">
        <v>46129</v>
      </c>
      <c r="C137" t="inlineStr">
        <is>
          <t>CUST-008</t>
        </is>
      </c>
      <c r="D137" t="inlineStr">
        <is>
          <t>Greater Accra</t>
        </is>
      </c>
      <c r="E137" t="inlineStr">
        <is>
          <t>Electronics Accessories</t>
        </is>
      </c>
      <c r="F137" s="11" t="n">
        <v>424.52</v>
      </c>
      <c r="G137" s="11" t="n">
        <v>289.89</v>
      </c>
      <c r="H137" s="11" t="n">
        <v>30</v>
      </c>
      <c r="I137" s="11" t="n">
        <v>41.46</v>
      </c>
      <c r="J137" t="inlineStr">
        <is>
          <t>Delivered</t>
        </is>
      </c>
      <c r="K137" t="inlineStr">
        <is>
          <t>Card</t>
        </is>
      </c>
      <c r="L137" t="n">
        <v>2</v>
      </c>
      <c r="M137" s="11" t="n">
        <v>0</v>
      </c>
    </row>
    <row r="138">
      <c r="A138" t="inlineStr">
        <is>
          <t>ORD-1008</t>
        </is>
      </c>
      <c r="B138" s="10" t="n">
        <v>46130</v>
      </c>
      <c r="C138" t="inlineStr">
        <is>
          <t>CUST-085</t>
        </is>
      </c>
      <c r="D138" t="inlineStr">
        <is>
          <t>Ashanti</t>
        </is>
      </c>
      <c r="E138" t="inlineStr">
        <is>
          <t>Personal Care</t>
        </is>
      </c>
      <c r="F138" s="11" t="n">
        <v>168.77</v>
      </c>
      <c r="G138" s="11" t="n">
        <v>95.90000000000001</v>
      </c>
      <c r="H138" s="11" t="n">
        <v>15</v>
      </c>
      <c r="I138" s="11" t="n">
        <v>26.7</v>
      </c>
      <c r="J138" t="inlineStr">
        <is>
          <t>Delivered</t>
        </is>
      </c>
      <c r="K138" t="inlineStr">
        <is>
          <t>Mobile Money</t>
        </is>
      </c>
      <c r="L138" t="n">
        <v>4</v>
      </c>
      <c r="M138" s="11" t="n">
        <v>0</v>
      </c>
    </row>
    <row r="139">
      <c r="A139" t="inlineStr">
        <is>
          <t>ORD-1154</t>
        </is>
      </c>
      <c r="B139" s="10" t="n">
        <v>46131</v>
      </c>
      <c r="C139" t="inlineStr">
        <is>
          <t>CUST-011</t>
        </is>
      </c>
      <c r="D139" t="inlineStr">
        <is>
          <t>Greater Accra</t>
        </is>
      </c>
      <c r="E139" t="inlineStr">
        <is>
          <t>Home &amp; Kitchen</t>
        </is>
      </c>
      <c r="F139" s="11" t="n">
        <v>647.0599999999999</v>
      </c>
      <c r="G139" s="11" t="n">
        <v>305.72</v>
      </c>
      <c r="H139" s="11" t="n">
        <v>20</v>
      </c>
      <c r="I139" s="11" t="n">
        <v>25.21</v>
      </c>
      <c r="J139" t="inlineStr">
        <is>
          <t>Delivered</t>
        </is>
      </c>
      <c r="K139" t="inlineStr">
        <is>
          <t>Cash on Delivery</t>
        </is>
      </c>
      <c r="L139" t="n">
        <v>2</v>
      </c>
      <c r="M139" s="11" t="n">
        <v>0</v>
      </c>
    </row>
    <row r="140">
      <c r="A140" t="inlineStr">
        <is>
          <t>ORD-1016</t>
        </is>
      </c>
      <c r="B140" s="10" t="n">
        <v>46133</v>
      </c>
      <c r="C140" t="inlineStr">
        <is>
          <t>CUST-017</t>
        </is>
      </c>
      <c r="D140" t="inlineStr">
        <is>
          <t>Greater Accra</t>
        </is>
      </c>
      <c r="E140" t="inlineStr">
        <is>
          <t>Electronics Accessories</t>
        </is>
      </c>
      <c r="F140" s="11" t="n">
        <v>379.01</v>
      </c>
      <c r="G140" s="11" t="n">
        <v>260.74</v>
      </c>
      <c r="H140" s="11" t="n">
        <v>10</v>
      </c>
      <c r="I140" s="11" t="n">
        <v>20.99</v>
      </c>
      <c r="J140" t="inlineStr">
        <is>
          <t>Delivered</t>
        </is>
      </c>
      <c r="K140" t="inlineStr">
        <is>
          <t>Mobile Money</t>
        </is>
      </c>
      <c r="L140" t="n">
        <v>1</v>
      </c>
      <c r="M140" s="11" t="n">
        <v>0</v>
      </c>
    </row>
    <row r="141">
      <c r="A141" t="inlineStr">
        <is>
          <t>ORD-1046</t>
        </is>
      </c>
      <c r="B141" s="10" t="n">
        <v>46134</v>
      </c>
      <c r="C141" t="inlineStr">
        <is>
          <t>CUST-023</t>
        </is>
      </c>
      <c r="D141" t="inlineStr">
        <is>
          <t>Ashanti</t>
        </is>
      </c>
      <c r="E141" t="inlineStr">
        <is>
          <t>Stationery</t>
        </is>
      </c>
      <c r="F141" s="11" t="n">
        <v>174.3</v>
      </c>
      <c r="G141" s="11" t="n">
        <v>69.48</v>
      </c>
      <c r="H141" s="11" t="n">
        <v>30</v>
      </c>
      <c r="I141" s="11" t="n">
        <v>42.75</v>
      </c>
      <c r="J141" t="inlineStr">
        <is>
          <t>Delivered</t>
        </is>
      </c>
      <c r="K141" t="inlineStr">
        <is>
          <t>Card</t>
        </is>
      </c>
      <c r="L141" t="n">
        <v>1</v>
      </c>
      <c r="M141" s="11" t="n">
        <v>0</v>
      </c>
    </row>
    <row r="142">
      <c r="A142" t="inlineStr">
        <is>
          <t>ORD-1234</t>
        </is>
      </c>
      <c r="B142" s="10" t="n">
        <v>46134</v>
      </c>
      <c r="C142" t="inlineStr">
        <is>
          <t>CUST-083</t>
        </is>
      </c>
      <c r="D142" t="inlineStr">
        <is>
          <t>Northern</t>
        </is>
      </c>
      <c r="E142" t="inlineStr">
        <is>
          <t>Stationery</t>
        </is>
      </c>
      <c r="F142" s="11" t="n">
        <v>108.37</v>
      </c>
      <c r="G142" s="11" t="n">
        <v>54.67</v>
      </c>
      <c r="H142" s="11" t="n">
        <v>10</v>
      </c>
      <c r="I142" s="11" t="n">
        <v>30.95</v>
      </c>
      <c r="J142" t="inlineStr">
        <is>
          <t>Failed</t>
        </is>
      </c>
      <c r="K142" t="inlineStr">
        <is>
          <t>Mobile Money</t>
        </is>
      </c>
      <c r="L142" t="n">
        <v>9</v>
      </c>
      <c r="M142" s="11" t="n">
        <v>12.61</v>
      </c>
    </row>
    <row r="143">
      <c r="A143" t="inlineStr">
        <is>
          <t>ORD-1153</t>
        </is>
      </c>
      <c r="B143" s="10" t="n">
        <v>46135</v>
      </c>
      <c r="C143" t="inlineStr">
        <is>
          <t>CUST-050</t>
        </is>
      </c>
      <c r="D143" t="inlineStr">
        <is>
          <t>Ashanti</t>
        </is>
      </c>
      <c r="E143" t="inlineStr">
        <is>
          <t>Home &amp; Kitchen</t>
        </is>
      </c>
      <c r="F143" s="11" t="n">
        <v>162.09</v>
      </c>
      <c r="G143" s="11" t="n">
        <v>91.51000000000001</v>
      </c>
      <c r="H143" s="11" t="n">
        <v>20</v>
      </c>
      <c r="I143" s="11" t="n">
        <v>34.24</v>
      </c>
      <c r="J143" t="inlineStr">
        <is>
          <t>Delivered</t>
        </is>
      </c>
      <c r="K143" t="inlineStr">
        <is>
          <t>Card</t>
        </is>
      </c>
      <c r="L143" t="n">
        <v>1</v>
      </c>
      <c r="M143" s="11" t="n">
        <v>0</v>
      </c>
    </row>
    <row r="144">
      <c r="A144" t="inlineStr">
        <is>
          <t>ORD-1058</t>
        </is>
      </c>
      <c r="B144" s="10" t="n">
        <v>46136</v>
      </c>
      <c r="C144" t="inlineStr">
        <is>
          <t>CUST-039</t>
        </is>
      </c>
      <c r="D144" t="inlineStr">
        <is>
          <t>Eastern</t>
        </is>
      </c>
      <c r="E144" t="inlineStr">
        <is>
          <t>Small Appliances</t>
        </is>
      </c>
      <c r="F144" s="11" t="n">
        <v>1486.54</v>
      </c>
      <c r="G144" s="11" t="n">
        <v>973.64</v>
      </c>
      <c r="H144" s="11" t="n">
        <v>30</v>
      </c>
      <c r="I144" s="11" t="n">
        <v>36.6</v>
      </c>
      <c r="J144" t="inlineStr">
        <is>
          <t>Returned</t>
        </is>
      </c>
      <c r="K144" t="inlineStr">
        <is>
          <t>Mobile Money</t>
        </is>
      </c>
      <c r="L144" t="n">
        <v>7</v>
      </c>
      <c r="M144" s="11" t="n">
        <v>11.53</v>
      </c>
    </row>
    <row r="145">
      <c r="A145" t="inlineStr">
        <is>
          <t>ORD-1104</t>
        </is>
      </c>
      <c r="B145" s="10" t="n">
        <v>46136</v>
      </c>
      <c r="C145" t="inlineStr">
        <is>
          <t>CUST-010</t>
        </is>
      </c>
      <c r="D145" t="inlineStr">
        <is>
          <t>Greater Accra</t>
        </is>
      </c>
      <c r="E145" t="inlineStr">
        <is>
          <t>Small Appliances</t>
        </is>
      </c>
      <c r="F145" s="11" t="n">
        <v>584.85</v>
      </c>
      <c r="G145" s="11" t="n">
        <v>366.53</v>
      </c>
      <c r="H145" s="11" t="n">
        <v>15</v>
      </c>
      <c r="I145" s="11" t="n">
        <v>19.75</v>
      </c>
      <c r="J145" t="inlineStr">
        <is>
          <t>Delivered</t>
        </is>
      </c>
      <c r="K145" t="inlineStr">
        <is>
          <t>Cash on Delivery</t>
        </is>
      </c>
      <c r="L145" t="n">
        <v>1</v>
      </c>
      <c r="M145" s="11" t="n">
        <v>0</v>
      </c>
    </row>
    <row r="146">
      <c r="A146" t="inlineStr">
        <is>
          <t>ORD-1137</t>
        </is>
      </c>
      <c r="B146" s="10" t="n">
        <v>46137</v>
      </c>
      <c r="C146" t="inlineStr">
        <is>
          <t>CUST-030</t>
        </is>
      </c>
      <c r="D146" t="inlineStr">
        <is>
          <t>Northern</t>
        </is>
      </c>
      <c r="E146" t="inlineStr">
        <is>
          <t>Personal Care</t>
        </is>
      </c>
      <c r="F146" s="11" t="n">
        <v>110.1</v>
      </c>
      <c r="G146" s="11" t="n">
        <v>60.07</v>
      </c>
      <c r="H146" s="11" t="n">
        <v>25</v>
      </c>
      <c r="I146" s="11" t="n">
        <v>46.04</v>
      </c>
      <c r="J146" t="inlineStr">
        <is>
          <t>Delivered</t>
        </is>
      </c>
      <c r="K146" t="inlineStr">
        <is>
          <t>Cash on Delivery</t>
        </is>
      </c>
      <c r="L146" t="n">
        <v>4</v>
      </c>
      <c r="M146" s="11" t="n">
        <v>0</v>
      </c>
    </row>
    <row r="147">
      <c r="A147" t="inlineStr">
        <is>
          <t>ORD-1213</t>
        </is>
      </c>
      <c r="B147" s="10" t="n">
        <v>46137</v>
      </c>
      <c r="C147" t="inlineStr">
        <is>
          <t>CUST-077</t>
        </is>
      </c>
      <c r="D147" t="inlineStr">
        <is>
          <t>Western</t>
        </is>
      </c>
      <c r="E147" t="inlineStr">
        <is>
          <t>Personal Care</t>
        </is>
      </c>
      <c r="F147" s="11" t="n">
        <v>264.86</v>
      </c>
      <c r="G147" s="11" t="n">
        <v>117.61</v>
      </c>
      <c r="H147" s="11" t="n">
        <v>10</v>
      </c>
      <c r="I147" s="11" t="n">
        <v>23.02</v>
      </c>
      <c r="J147" t="inlineStr">
        <is>
          <t>Delivered</t>
        </is>
      </c>
      <c r="K147" t="inlineStr">
        <is>
          <t>Mobile Money</t>
        </is>
      </c>
      <c r="L147" t="n">
        <v>2</v>
      </c>
      <c r="M147" s="11" t="n">
        <v>0</v>
      </c>
    </row>
    <row r="148">
      <c r="A148" t="inlineStr">
        <is>
          <t>ORD-1173</t>
        </is>
      </c>
      <c r="B148" s="10" t="n">
        <v>46138</v>
      </c>
      <c r="C148" t="inlineStr">
        <is>
          <t>CUST-032</t>
        </is>
      </c>
      <c r="D148" t="inlineStr">
        <is>
          <t>Central</t>
        </is>
      </c>
      <c r="E148" t="inlineStr">
        <is>
          <t>Electronics Accessories</t>
        </is>
      </c>
      <c r="F148" s="11" t="n">
        <v>121.5</v>
      </c>
      <c r="G148" s="11" t="n">
        <v>83.86</v>
      </c>
      <c r="H148" s="11" t="n">
        <v>30</v>
      </c>
      <c r="I148" s="11" t="n">
        <v>41.18</v>
      </c>
      <c r="J148" t="inlineStr">
        <is>
          <t>Returned</t>
        </is>
      </c>
      <c r="K148" t="inlineStr">
        <is>
          <t>Card</t>
        </is>
      </c>
      <c r="L148" t="n">
        <v>7</v>
      </c>
      <c r="M148" s="11" t="n">
        <v>13.57</v>
      </c>
    </row>
    <row r="149">
      <c r="A149" t="inlineStr">
        <is>
          <t>ORD-1029</t>
        </is>
      </c>
      <c r="B149" s="10" t="n">
        <v>46139</v>
      </c>
      <c r="C149" t="inlineStr">
        <is>
          <t>CUST-054</t>
        </is>
      </c>
      <c r="D149" t="inlineStr">
        <is>
          <t>Western</t>
        </is>
      </c>
      <c r="E149" t="inlineStr">
        <is>
          <t>Small Appliances</t>
        </is>
      </c>
      <c r="F149" s="11" t="n">
        <v>927.16</v>
      </c>
      <c r="G149" s="11" t="n">
        <v>676.1799999999999</v>
      </c>
      <c r="H149" s="11" t="n">
        <v>25</v>
      </c>
      <c r="I149" s="11" t="n">
        <v>38.94</v>
      </c>
      <c r="J149" t="inlineStr">
        <is>
          <t>Delivered</t>
        </is>
      </c>
      <c r="K149" t="inlineStr">
        <is>
          <t>Cash on Delivery</t>
        </is>
      </c>
      <c r="L149" t="n">
        <v>3</v>
      </c>
      <c r="M149" s="11" t="n">
        <v>0</v>
      </c>
    </row>
    <row r="150">
      <c r="A150" t="inlineStr">
        <is>
          <t>ORD-1039</t>
        </is>
      </c>
      <c r="B150" s="10" t="n">
        <v>46139</v>
      </c>
      <c r="C150" t="inlineStr">
        <is>
          <t>CUST-042</t>
        </is>
      </c>
      <c r="D150" t="inlineStr">
        <is>
          <t>Greater Accra</t>
        </is>
      </c>
      <c r="E150" t="inlineStr">
        <is>
          <t>Home &amp; Kitchen</t>
        </is>
      </c>
      <c r="F150" s="11" t="n">
        <v>577.78</v>
      </c>
      <c r="G150" s="11" t="n">
        <v>283.16</v>
      </c>
      <c r="H150" s="11" t="n">
        <v>25</v>
      </c>
      <c r="I150" s="11" t="n">
        <v>29.52</v>
      </c>
      <c r="J150" t="inlineStr">
        <is>
          <t>Delivered</t>
        </is>
      </c>
      <c r="K150" t="inlineStr">
        <is>
          <t>Mobile Money</t>
        </is>
      </c>
      <c r="L150" t="n">
        <v>1</v>
      </c>
      <c r="M150" s="11" t="n">
        <v>0</v>
      </c>
    </row>
    <row r="151">
      <c r="A151" t="inlineStr">
        <is>
          <t>ORD-1052</t>
        </is>
      </c>
      <c r="B151" s="10" t="n">
        <v>46139</v>
      </c>
      <c r="C151" t="inlineStr">
        <is>
          <t>CUST-035</t>
        </is>
      </c>
      <c r="D151" t="inlineStr">
        <is>
          <t>Ashanti</t>
        </is>
      </c>
      <c r="E151" t="inlineStr">
        <is>
          <t>Home &amp; Kitchen</t>
        </is>
      </c>
      <c r="F151" s="11" t="n">
        <v>188.32</v>
      </c>
      <c r="G151" s="11" t="n">
        <v>107.31</v>
      </c>
      <c r="H151" s="11" t="n">
        <v>20</v>
      </c>
      <c r="I151" s="11" t="n">
        <v>26.2</v>
      </c>
      <c r="J151" t="inlineStr">
        <is>
          <t>Delivered</t>
        </is>
      </c>
      <c r="K151" t="inlineStr">
        <is>
          <t>Cash on Delivery</t>
        </is>
      </c>
      <c r="L151" t="n">
        <v>3</v>
      </c>
      <c r="M151" s="11" t="n">
        <v>0</v>
      </c>
    </row>
    <row r="152">
      <c r="A152" t="inlineStr">
        <is>
          <t>ORD-1229</t>
        </is>
      </c>
      <c r="B152" s="10" t="n">
        <v>46139</v>
      </c>
      <c r="C152" t="inlineStr">
        <is>
          <t>CUST-048</t>
        </is>
      </c>
      <c r="D152" t="inlineStr">
        <is>
          <t>Greater Accra</t>
        </is>
      </c>
      <c r="E152" t="inlineStr">
        <is>
          <t>Electronics Accessories</t>
        </is>
      </c>
      <c r="F152" s="11" t="n">
        <v>602.9400000000001</v>
      </c>
      <c r="G152" s="11" t="n">
        <v>414.88</v>
      </c>
      <c r="H152" s="11" t="n">
        <v>25</v>
      </c>
      <c r="I152" s="11" t="n">
        <v>33.59</v>
      </c>
      <c r="J152" t="inlineStr">
        <is>
          <t>Delivered</t>
        </is>
      </c>
      <c r="K152" t="inlineStr">
        <is>
          <t>Cash on Delivery</t>
        </is>
      </c>
      <c r="L152" t="n">
        <v>2</v>
      </c>
      <c r="M152" s="11" t="n">
        <v>0</v>
      </c>
    </row>
    <row r="153">
      <c r="A153" t="inlineStr">
        <is>
          <t>ORD-1250</t>
        </is>
      </c>
      <c r="B153" s="10" t="n">
        <v>46141</v>
      </c>
      <c r="C153" t="inlineStr">
        <is>
          <t>CUST-027</t>
        </is>
      </c>
      <c r="D153" t="inlineStr">
        <is>
          <t>Greater Accra</t>
        </is>
      </c>
      <c r="E153" t="inlineStr">
        <is>
          <t>Home &amp; Kitchen</t>
        </is>
      </c>
      <c r="F153" s="11" t="n">
        <v>224.8</v>
      </c>
      <c r="G153" s="11" t="n">
        <v>126.95</v>
      </c>
      <c r="H153" s="11" t="n">
        <v>25</v>
      </c>
      <c r="I153" s="11" t="n">
        <v>33.73</v>
      </c>
      <c r="J153" t="inlineStr">
        <is>
          <t>Delivered</t>
        </is>
      </c>
      <c r="K153" t="inlineStr">
        <is>
          <t>Mobile Money</t>
        </is>
      </c>
      <c r="L153" t="n">
        <v>2</v>
      </c>
      <c r="M153" s="11" t="n">
        <v>0</v>
      </c>
    </row>
    <row r="154">
      <c r="A154" t="inlineStr">
        <is>
          <t>ORD-1083</t>
        </is>
      </c>
      <c r="B154" s="10" t="n">
        <v>46142</v>
      </c>
      <c r="C154" t="inlineStr">
        <is>
          <t>CUST-037</t>
        </is>
      </c>
      <c r="D154" t="inlineStr">
        <is>
          <t>Eastern</t>
        </is>
      </c>
      <c r="E154" t="inlineStr">
        <is>
          <t>Personal Care</t>
        </is>
      </c>
      <c r="F154" s="11" t="n">
        <v>68.44</v>
      </c>
      <c r="G154" s="11" t="n">
        <v>32.82</v>
      </c>
      <c r="H154" s="11" t="n">
        <v>20</v>
      </c>
      <c r="I154" s="11" t="n">
        <v>35.88</v>
      </c>
      <c r="J154" t="inlineStr">
        <is>
          <t>Delivered</t>
        </is>
      </c>
      <c r="K154" t="inlineStr">
        <is>
          <t>Bank Transfer</t>
        </is>
      </c>
      <c r="L154" t="n">
        <v>2</v>
      </c>
      <c r="M154" s="11" t="n">
        <v>0</v>
      </c>
    </row>
    <row r="155">
      <c r="A155" t="inlineStr">
        <is>
          <t>ORD-1060</t>
        </is>
      </c>
      <c r="B155" s="10" t="n">
        <v>46143</v>
      </c>
      <c r="C155" t="inlineStr">
        <is>
          <t>CUST-038</t>
        </is>
      </c>
      <c r="D155" t="inlineStr">
        <is>
          <t>Northern</t>
        </is>
      </c>
      <c r="E155" t="inlineStr">
        <is>
          <t>Electronics Accessories</t>
        </is>
      </c>
      <c r="F155" s="11" t="n">
        <v>316.25</v>
      </c>
      <c r="G155" s="11" t="n">
        <v>180.54</v>
      </c>
      <c r="H155" s="11" t="n">
        <v>25</v>
      </c>
      <c r="I155" s="11" t="n">
        <v>37.71</v>
      </c>
      <c r="J155" t="inlineStr">
        <is>
          <t>Delivered</t>
        </is>
      </c>
      <c r="K155" t="inlineStr">
        <is>
          <t>Mobile Money</t>
        </is>
      </c>
      <c r="L155" t="n">
        <v>3</v>
      </c>
      <c r="M155" s="11" t="n">
        <v>0</v>
      </c>
    </row>
    <row r="156">
      <c r="A156" t="inlineStr">
        <is>
          <t>ORD-1143</t>
        </is>
      </c>
      <c r="B156" s="10" t="n">
        <v>46143</v>
      </c>
      <c r="C156" t="inlineStr">
        <is>
          <t>CUST-090</t>
        </is>
      </c>
      <c r="D156" t="inlineStr">
        <is>
          <t>Greater Accra</t>
        </is>
      </c>
      <c r="E156" t="inlineStr">
        <is>
          <t>Stationery</t>
        </is>
      </c>
      <c r="F156" s="11" t="n">
        <v>140.21</v>
      </c>
      <c r="G156" s="11" t="n">
        <v>60.91</v>
      </c>
      <c r="H156" s="11" t="n">
        <v>30</v>
      </c>
      <c r="I156" s="11" t="n">
        <v>32.05</v>
      </c>
      <c r="J156" t="inlineStr">
        <is>
          <t>Delivered</t>
        </is>
      </c>
      <c r="K156" t="inlineStr">
        <is>
          <t>Mobile Money</t>
        </is>
      </c>
      <c r="L156" t="n">
        <v>2</v>
      </c>
      <c r="M156" s="11" t="n">
        <v>0</v>
      </c>
    </row>
    <row r="157">
      <c r="A157" t="inlineStr">
        <is>
          <t>ORD-1027</t>
        </is>
      </c>
      <c r="B157" s="10" t="n">
        <v>46144</v>
      </c>
      <c r="C157" t="inlineStr">
        <is>
          <t>CUST-022</t>
        </is>
      </c>
      <c r="D157" t="inlineStr">
        <is>
          <t>Central</t>
        </is>
      </c>
      <c r="E157" t="inlineStr">
        <is>
          <t>Personal Care</t>
        </is>
      </c>
      <c r="F157" s="11" t="n">
        <v>103.04</v>
      </c>
      <c r="G157" s="11" t="n">
        <v>53.53</v>
      </c>
      <c r="H157" s="11" t="n">
        <v>30</v>
      </c>
      <c r="I157" s="11" t="n">
        <v>40.35</v>
      </c>
      <c r="J157" t="inlineStr">
        <is>
          <t>Delivered</t>
        </is>
      </c>
      <c r="K157" t="inlineStr">
        <is>
          <t>Cash on Delivery</t>
        </is>
      </c>
      <c r="L157" t="n">
        <v>4</v>
      </c>
      <c r="M157" s="11" t="n">
        <v>0</v>
      </c>
    </row>
    <row r="158">
      <c r="A158" t="inlineStr">
        <is>
          <t>ORD-1150</t>
        </is>
      </c>
      <c r="B158" s="10" t="n">
        <v>46145</v>
      </c>
      <c r="C158" t="inlineStr">
        <is>
          <t>CUST-081</t>
        </is>
      </c>
      <c r="D158" t="inlineStr">
        <is>
          <t>Northern</t>
        </is>
      </c>
      <c r="E158" t="inlineStr">
        <is>
          <t>Electronics Accessories</t>
        </is>
      </c>
      <c r="F158" s="11" t="n">
        <v>190.58</v>
      </c>
      <c r="G158" s="11" t="n">
        <v>123.67</v>
      </c>
      <c r="H158" s="11" t="n">
        <v>25</v>
      </c>
      <c r="I158" s="11" t="n">
        <v>37.37</v>
      </c>
      <c r="J158" t="inlineStr">
        <is>
          <t>Delivered</t>
        </is>
      </c>
      <c r="K158" t="inlineStr">
        <is>
          <t>Card</t>
        </is>
      </c>
      <c r="L158" t="n">
        <v>3</v>
      </c>
      <c r="M158" s="11" t="n">
        <v>0</v>
      </c>
    </row>
    <row r="159">
      <c r="A159" t="inlineStr">
        <is>
          <t>ORD-1165</t>
        </is>
      </c>
      <c r="B159" s="10" t="n">
        <v>46145</v>
      </c>
      <c r="C159" t="inlineStr">
        <is>
          <t>CUST-068</t>
        </is>
      </c>
      <c r="D159" t="inlineStr">
        <is>
          <t>Greater Accra</t>
        </is>
      </c>
      <c r="E159" t="inlineStr">
        <is>
          <t>Home &amp; Kitchen</t>
        </is>
      </c>
      <c r="F159" s="11" t="n">
        <v>295.66</v>
      </c>
      <c r="G159" s="11" t="n">
        <v>160.69</v>
      </c>
      <c r="H159" s="11" t="n">
        <v>15</v>
      </c>
      <c r="I159" s="11" t="n">
        <v>26.72</v>
      </c>
      <c r="J159" t="inlineStr">
        <is>
          <t>Delivered</t>
        </is>
      </c>
      <c r="K159" t="inlineStr">
        <is>
          <t>Mobile Money</t>
        </is>
      </c>
      <c r="L159" t="n">
        <v>1</v>
      </c>
      <c r="M159" s="11" t="n">
        <v>0</v>
      </c>
    </row>
    <row r="160">
      <c r="A160" t="inlineStr">
        <is>
          <t>ORD-1115</t>
        </is>
      </c>
      <c r="B160" s="10" t="n">
        <v>46147</v>
      </c>
      <c r="C160" t="inlineStr">
        <is>
          <t>CUST-078</t>
        </is>
      </c>
      <c r="D160" t="inlineStr">
        <is>
          <t>Ashanti</t>
        </is>
      </c>
      <c r="E160" t="inlineStr">
        <is>
          <t>Home &amp; Kitchen</t>
        </is>
      </c>
      <c r="F160" s="11" t="n">
        <v>213.9</v>
      </c>
      <c r="G160" s="11" t="n">
        <v>123.18</v>
      </c>
      <c r="H160" s="11" t="n">
        <v>10</v>
      </c>
      <c r="I160" s="11" t="n">
        <v>18.45</v>
      </c>
      <c r="J160" t="inlineStr">
        <is>
          <t>Delivered</t>
        </is>
      </c>
      <c r="K160" t="inlineStr">
        <is>
          <t>Cash on Delivery</t>
        </is>
      </c>
      <c r="L160" t="n">
        <v>2</v>
      </c>
      <c r="M160" s="11" t="n">
        <v>0</v>
      </c>
    </row>
    <row r="161">
      <c r="A161" t="inlineStr">
        <is>
          <t>ORD-1134</t>
        </is>
      </c>
      <c r="B161" s="10" t="n">
        <v>46147</v>
      </c>
      <c r="C161" t="inlineStr">
        <is>
          <t>CUST-025</t>
        </is>
      </c>
      <c r="D161" t="inlineStr">
        <is>
          <t>Western</t>
        </is>
      </c>
      <c r="E161" t="inlineStr">
        <is>
          <t>Electronics Accessories</t>
        </is>
      </c>
      <c r="F161" s="11" t="n">
        <v>192.8</v>
      </c>
      <c r="G161" s="11" t="n">
        <v>102.93</v>
      </c>
      <c r="H161" s="11" t="n">
        <v>10</v>
      </c>
      <c r="I161" s="11" t="n">
        <v>24.08</v>
      </c>
      <c r="J161" t="inlineStr">
        <is>
          <t>Delivered</t>
        </is>
      </c>
      <c r="K161" t="inlineStr">
        <is>
          <t>Cash on Delivery</t>
        </is>
      </c>
      <c r="L161" t="n">
        <v>3</v>
      </c>
      <c r="M161" s="11" t="n">
        <v>0</v>
      </c>
    </row>
    <row r="162">
      <c r="A162" t="inlineStr">
        <is>
          <t>ORD-1055</t>
        </is>
      </c>
      <c r="B162" s="10" t="n">
        <v>46148</v>
      </c>
      <c r="C162" t="inlineStr">
        <is>
          <t>CUST-014</t>
        </is>
      </c>
      <c r="D162" t="inlineStr">
        <is>
          <t>Greater Accra</t>
        </is>
      </c>
      <c r="E162" t="inlineStr">
        <is>
          <t>Small Appliances</t>
        </is>
      </c>
      <c r="F162" s="11" t="n">
        <v>924.99</v>
      </c>
      <c r="G162" s="11" t="n">
        <v>633.15</v>
      </c>
      <c r="H162" s="11" t="n">
        <v>25</v>
      </c>
      <c r="I162" s="11" t="n">
        <v>30.41</v>
      </c>
      <c r="J162" t="inlineStr">
        <is>
          <t>Returned</t>
        </is>
      </c>
      <c r="K162" t="inlineStr">
        <is>
          <t>Mobile Money</t>
        </is>
      </c>
      <c r="L162" t="n">
        <v>7</v>
      </c>
      <c r="M162" s="11" t="n">
        <v>16.12</v>
      </c>
    </row>
    <row r="163">
      <c r="A163" t="inlineStr">
        <is>
          <t>ORD-1161</t>
        </is>
      </c>
      <c r="B163" s="10" t="n">
        <v>46148</v>
      </c>
      <c r="C163" t="inlineStr">
        <is>
          <t>CUST-026</t>
        </is>
      </c>
      <c r="D163" t="inlineStr">
        <is>
          <t>Ashanti</t>
        </is>
      </c>
      <c r="E163" t="inlineStr">
        <is>
          <t>Electronics Accessories</t>
        </is>
      </c>
      <c r="F163" s="11" t="n">
        <v>779.3200000000001</v>
      </c>
      <c r="G163" s="11" t="n">
        <v>468.66</v>
      </c>
      <c r="H163" s="11" t="n">
        <v>25</v>
      </c>
      <c r="I163" s="11" t="n">
        <v>39.97</v>
      </c>
      <c r="J163" t="inlineStr">
        <is>
          <t>Delivered</t>
        </is>
      </c>
      <c r="K163" t="inlineStr">
        <is>
          <t>Bank Transfer</t>
        </is>
      </c>
      <c r="L163" t="n">
        <v>3</v>
      </c>
      <c r="M163" s="11" t="n">
        <v>0</v>
      </c>
    </row>
    <row r="164">
      <c r="A164" t="inlineStr">
        <is>
          <t>ORD-1071</t>
        </is>
      </c>
      <c r="B164" s="10" t="n">
        <v>46150</v>
      </c>
      <c r="C164" t="inlineStr">
        <is>
          <t>CUST-038</t>
        </is>
      </c>
      <c r="D164" t="inlineStr">
        <is>
          <t>Northern</t>
        </is>
      </c>
      <c r="E164" t="inlineStr">
        <is>
          <t>Personal Care</t>
        </is>
      </c>
      <c r="F164" s="11" t="n">
        <v>100.19</v>
      </c>
      <c r="G164" s="11" t="n">
        <v>55.13</v>
      </c>
      <c r="H164" s="11" t="n">
        <v>25</v>
      </c>
      <c r="I164" s="11" t="n">
        <v>39.44</v>
      </c>
      <c r="J164" t="inlineStr">
        <is>
          <t>Delivered</t>
        </is>
      </c>
      <c r="K164" t="inlineStr">
        <is>
          <t>Mobile Money</t>
        </is>
      </c>
      <c r="L164" t="n">
        <v>5</v>
      </c>
      <c r="M164" s="11" t="n">
        <v>0</v>
      </c>
    </row>
    <row r="165">
      <c r="A165" t="inlineStr">
        <is>
          <t>ORD-1118</t>
        </is>
      </c>
      <c r="B165" s="10" t="n">
        <v>46151</v>
      </c>
      <c r="C165" t="inlineStr">
        <is>
          <t>CUST-072</t>
        </is>
      </c>
      <c r="D165" t="inlineStr">
        <is>
          <t>Western</t>
        </is>
      </c>
      <c r="E165" t="inlineStr">
        <is>
          <t>Stationery</t>
        </is>
      </c>
      <c r="F165" s="11" t="n">
        <v>148.02</v>
      </c>
      <c r="G165" s="11" t="n">
        <v>53.73</v>
      </c>
      <c r="H165" s="11" t="n">
        <v>10</v>
      </c>
      <c r="I165" s="11" t="n">
        <v>23.36</v>
      </c>
      <c r="J165" t="inlineStr">
        <is>
          <t>Delivered</t>
        </is>
      </c>
      <c r="K165" t="inlineStr">
        <is>
          <t>Mobile Money</t>
        </is>
      </c>
      <c r="L165" t="n">
        <v>2</v>
      </c>
      <c r="M165" s="11" t="n">
        <v>0</v>
      </c>
    </row>
    <row r="166">
      <c r="A166" t="inlineStr">
        <is>
          <t>ORD-1206</t>
        </is>
      </c>
      <c r="B166" s="10" t="n">
        <v>46153</v>
      </c>
      <c r="C166" t="inlineStr">
        <is>
          <t>CUST-058</t>
        </is>
      </c>
      <c r="D166" t="inlineStr">
        <is>
          <t>Central</t>
        </is>
      </c>
      <c r="E166" t="inlineStr">
        <is>
          <t>Stationery</t>
        </is>
      </c>
      <c r="F166" s="11" t="n">
        <v>89.81999999999999</v>
      </c>
      <c r="G166" s="11" t="n">
        <v>39.73</v>
      </c>
      <c r="H166" s="11" t="n">
        <v>25</v>
      </c>
      <c r="I166" s="11" t="n">
        <v>37.64</v>
      </c>
      <c r="J166" t="inlineStr">
        <is>
          <t>Delivered</t>
        </is>
      </c>
      <c r="K166" t="inlineStr">
        <is>
          <t>Cash on Delivery</t>
        </is>
      </c>
      <c r="L166" t="n">
        <v>4</v>
      </c>
      <c r="M166" s="11" t="n">
        <v>0</v>
      </c>
    </row>
    <row r="167">
      <c r="A167" t="inlineStr">
        <is>
          <t>ORD-1160</t>
        </is>
      </c>
      <c r="B167" s="10" t="n">
        <v>46155</v>
      </c>
      <c r="C167" t="inlineStr">
        <is>
          <t>CUST-050</t>
        </is>
      </c>
      <c r="D167" t="inlineStr">
        <is>
          <t>Ashanti</t>
        </is>
      </c>
      <c r="E167" t="inlineStr">
        <is>
          <t>Small Appliances</t>
        </is>
      </c>
      <c r="F167" s="11" t="n">
        <v>308.98</v>
      </c>
      <c r="G167" s="11" t="n">
        <v>228.49</v>
      </c>
      <c r="H167" s="11" t="n">
        <v>25</v>
      </c>
      <c r="I167" s="11" t="n">
        <v>32.15</v>
      </c>
      <c r="J167" t="inlineStr">
        <is>
          <t>Delivered</t>
        </is>
      </c>
      <c r="K167" t="inlineStr">
        <is>
          <t>Cash on Delivery</t>
        </is>
      </c>
      <c r="L167" t="n">
        <v>2</v>
      </c>
      <c r="M167" s="11" t="n">
        <v>0</v>
      </c>
    </row>
    <row r="168">
      <c r="A168" t="inlineStr">
        <is>
          <t>ORD-1023</t>
        </is>
      </c>
      <c r="B168" s="10" t="n">
        <v>46156</v>
      </c>
      <c r="C168" t="inlineStr">
        <is>
          <t>CUST-069</t>
        </is>
      </c>
      <c r="D168" t="inlineStr">
        <is>
          <t>Ashanti</t>
        </is>
      </c>
      <c r="E168" t="inlineStr">
        <is>
          <t>Personal Care</t>
        </is>
      </c>
      <c r="F168" s="11" t="n">
        <v>283.57</v>
      </c>
      <c r="G168" s="11" t="n">
        <v>151.05</v>
      </c>
      <c r="H168" s="11" t="n">
        <v>15</v>
      </c>
      <c r="I168" s="11" t="n">
        <v>23.64</v>
      </c>
      <c r="J168" t="inlineStr">
        <is>
          <t>Delivered</t>
        </is>
      </c>
      <c r="K168" t="inlineStr">
        <is>
          <t>Cash on Delivery</t>
        </is>
      </c>
      <c r="L168" t="n">
        <v>3</v>
      </c>
      <c r="M168" s="11" t="n">
        <v>0</v>
      </c>
    </row>
    <row r="169">
      <c r="A169" t="inlineStr">
        <is>
          <t>ORD-1033</t>
        </is>
      </c>
      <c r="B169" s="10" t="n">
        <v>46156</v>
      </c>
      <c r="C169" t="inlineStr">
        <is>
          <t>CUST-063</t>
        </is>
      </c>
      <c r="D169" t="inlineStr">
        <is>
          <t>Northern</t>
        </is>
      </c>
      <c r="E169" t="inlineStr">
        <is>
          <t>Personal Care</t>
        </is>
      </c>
      <c r="F169" s="11" t="n">
        <v>100.51</v>
      </c>
      <c r="G169" s="11" t="n">
        <v>41.61</v>
      </c>
      <c r="H169" s="11" t="n">
        <v>20</v>
      </c>
      <c r="I169" s="11" t="n">
        <v>34.34</v>
      </c>
      <c r="J169" t="inlineStr">
        <is>
          <t>Delivered</t>
        </is>
      </c>
      <c r="K169" t="inlineStr">
        <is>
          <t>Card</t>
        </is>
      </c>
      <c r="L169" t="n">
        <v>4</v>
      </c>
      <c r="M169" s="11" t="n">
        <v>0</v>
      </c>
    </row>
    <row r="170">
      <c r="A170" t="inlineStr">
        <is>
          <t>ORD-1103</t>
        </is>
      </c>
      <c r="B170" s="10" t="n">
        <v>46156</v>
      </c>
      <c r="C170" t="inlineStr">
        <is>
          <t>CUST-039</t>
        </is>
      </c>
      <c r="D170" t="inlineStr">
        <is>
          <t>Eastern</t>
        </is>
      </c>
      <c r="E170" t="inlineStr">
        <is>
          <t>Home &amp; Kitchen</t>
        </is>
      </c>
      <c r="F170" s="11" t="n">
        <v>628.42</v>
      </c>
      <c r="G170" s="11" t="n">
        <v>283.39</v>
      </c>
      <c r="H170" s="11" t="n">
        <v>25</v>
      </c>
      <c r="I170" s="11" t="n">
        <v>39.47</v>
      </c>
      <c r="J170" t="inlineStr">
        <is>
          <t>Delivered</t>
        </is>
      </c>
      <c r="K170" t="inlineStr">
        <is>
          <t>Mobile Money</t>
        </is>
      </c>
      <c r="L170" t="n">
        <v>2</v>
      </c>
      <c r="M170" s="11" t="n">
        <v>0</v>
      </c>
    </row>
    <row r="171">
      <c r="A171" t="inlineStr">
        <is>
          <t>ORD-1129</t>
        </is>
      </c>
      <c r="B171" s="10" t="n">
        <v>46156</v>
      </c>
      <c r="C171" t="inlineStr">
        <is>
          <t>CUST-079</t>
        </is>
      </c>
      <c r="D171" t="inlineStr">
        <is>
          <t>Greater Accra</t>
        </is>
      </c>
      <c r="E171" t="inlineStr">
        <is>
          <t>Electronics Accessories</t>
        </is>
      </c>
      <c r="F171" s="11" t="n">
        <v>385.74</v>
      </c>
      <c r="G171" s="11" t="n">
        <v>220.23</v>
      </c>
      <c r="H171" s="11" t="n">
        <v>25</v>
      </c>
      <c r="I171" s="11" t="n">
        <v>34.74</v>
      </c>
      <c r="J171" t="inlineStr">
        <is>
          <t>Delivered</t>
        </is>
      </c>
      <c r="K171" t="inlineStr">
        <is>
          <t>Mobile Money</t>
        </is>
      </c>
      <c r="L171" t="n">
        <v>4</v>
      </c>
      <c r="M171" s="11" t="n">
        <v>0</v>
      </c>
    </row>
    <row r="172">
      <c r="A172" t="inlineStr">
        <is>
          <t>ORD-1135</t>
        </is>
      </c>
      <c r="B172" s="10" t="n">
        <v>46157</v>
      </c>
      <c r="C172" t="inlineStr">
        <is>
          <t>CUST-005</t>
        </is>
      </c>
      <c r="D172" t="inlineStr">
        <is>
          <t>Central</t>
        </is>
      </c>
      <c r="E172" t="inlineStr">
        <is>
          <t>Personal Care</t>
        </is>
      </c>
      <c r="F172" s="11" t="n">
        <v>266.01</v>
      </c>
      <c r="G172" s="11" t="n">
        <v>136</v>
      </c>
      <c r="H172" s="11" t="n">
        <v>30</v>
      </c>
      <c r="I172" s="11" t="n">
        <v>40.77</v>
      </c>
      <c r="J172" t="inlineStr">
        <is>
          <t>Delivered</t>
        </is>
      </c>
      <c r="K172" t="inlineStr">
        <is>
          <t>Card</t>
        </is>
      </c>
      <c r="L172" t="n">
        <v>3</v>
      </c>
      <c r="M172" s="11" t="n">
        <v>0</v>
      </c>
    </row>
    <row r="173">
      <c r="A173" t="inlineStr">
        <is>
          <t>ORD-1204</t>
        </is>
      </c>
      <c r="B173" s="10" t="n">
        <v>46157</v>
      </c>
      <c r="C173" t="inlineStr">
        <is>
          <t>CUST-058</t>
        </is>
      </c>
      <c r="D173" t="inlineStr">
        <is>
          <t>Central</t>
        </is>
      </c>
      <c r="E173" t="inlineStr">
        <is>
          <t>Personal Care</t>
        </is>
      </c>
      <c r="F173" s="11" t="n">
        <v>124.49</v>
      </c>
      <c r="G173" s="11" t="n">
        <v>70.34999999999999</v>
      </c>
      <c r="H173" s="11" t="n">
        <v>10</v>
      </c>
      <c r="I173" s="11" t="n">
        <v>17.62</v>
      </c>
      <c r="J173" t="inlineStr">
        <is>
          <t>Delivered</t>
        </is>
      </c>
      <c r="K173" t="inlineStr">
        <is>
          <t>Cash on Delivery</t>
        </is>
      </c>
      <c r="L173" t="n">
        <v>4</v>
      </c>
      <c r="M173" s="11" t="n">
        <v>0</v>
      </c>
    </row>
    <row r="174">
      <c r="A174" t="inlineStr">
        <is>
          <t>ORD-1002</t>
        </is>
      </c>
      <c r="B174" s="10" t="n">
        <v>46160</v>
      </c>
      <c r="C174" t="inlineStr">
        <is>
          <t>CUST-058</t>
        </is>
      </c>
      <c r="D174" t="inlineStr">
        <is>
          <t>Central</t>
        </is>
      </c>
      <c r="E174" t="inlineStr">
        <is>
          <t>Electronics Accessories</t>
        </is>
      </c>
      <c r="F174" s="11" t="n">
        <v>230.46</v>
      </c>
      <c r="G174" s="11" t="n">
        <v>139.03</v>
      </c>
      <c r="H174" s="11" t="n">
        <v>10</v>
      </c>
      <c r="I174" s="11" t="n">
        <v>21.43</v>
      </c>
      <c r="J174" t="inlineStr">
        <is>
          <t>Failed</t>
        </is>
      </c>
      <c r="K174" t="inlineStr">
        <is>
          <t>Cash on Delivery</t>
        </is>
      </c>
      <c r="L174" t="n">
        <v>2</v>
      </c>
      <c r="M174" s="11" t="n">
        <v>19.09</v>
      </c>
    </row>
    <row r="175">
      <c r="A175" t="inlineStr">
        <is>
          <t>ORD-1003</t>
        </is>
      </c>
      <c r="B175" s="10" t="n">
        <v>46161</v>
      </c>
      <c r="C175" t="inlineStr">
        <is>
          <t>CUST-002</t>
        </is>
      </c>
      <c r="D175" t="inlineStr">
        <is>
          <t>Greater Accra</t>
        </is>
      </c>
      <c r="E175" t="inlineStr">
        <is>
          <t>Small Appliances</t>
        </is>
      </c>
      <c r="F175" s="11" t="n">
        <v>1400.6</v>
      </c>
      <c r="G175" s="11" t="n">
        <v>1054.32</v>
      </c>
      <c r="H175" s="11" t="n">
        <v>15</v>
      </c>
      <c r="I175" s="11" t="n">
        <v>21.06</v>
      </c>
      <c r="J175" t="inlineStr">
        <is>
          <t>Delivered</t>
        </is>
      </c>
      <c r="K175" t="inlineStr">
        <is>
          <t>Card</t>
        </is>
      </c>
      <c r="L175" t="n">
        <v>1</v>
      </c>
      <c r="M175" s="11" t="n">
        <v>0</v>
      </c>
    </row>
    <row r="176">
      <c r="A176" t="inlineStr">
        <is>
          <t>ORD-1040</t>
        </is>
      </c>
      <c r="B176" s="10" t="n">
        <v>46161</v>
      </c>
      <c r="C176" t="inlineStr">
        <is>
          <t>CUST-007</t>
        </is>
      </c>
      <c r="D176" t="inlineStr">
        <is>
          <t>Eastern</t>
        </is>
      </c>
      <c r="E176" t="inlineStr">
        <is>
          <t>Small Appliances</t>
        </is>
      </c>
      <c r="F176" s="11" t="n">
        <v>622.45</v>
      </c>
      <c r="G176" s="11" t="n">
        <v>446.31</v>
      </c>
      <c r="H176" s="11" t="n">
        <v>10</v>
      </c>
      <c r="I176" s="11" t="n">
        <v>23.54</v>
      </c>
      <c r="J176" t="inlineStr">
        <is>
          <t>Failed</t>
        </is>
      </c>
      <c r="K176" t="inlineStr">
        <is>
          <t>Mobile Money</t>
        </is>
      </c>
      <c r="L176" t="n">
        <v>2</v>
      </c>
      <c r="M176" s="11" t="n">
        <v>18.56</v>
      </c>
    </row>
    <row r="177">
      <c r="A177" t="inlineStr">
        <is>
          <t>ORD-1089</t>
        </is>
      </c>
      <c r="B177" s="10" t="n">
        <v>46161</v>
      </c>
      <c r="C177" t="inlineStr">
        <is>
          <t>CUST-047</t>
        </is>
      </c>
      <c r="D177" t="inlineStr">
        <is>
          <t>Greater Accra</t>
        </is>
      </c>
      <c r="E177" t="inlineStr">
        <is>
          <t>Personal Care</t>
        </is>
      </c>
      <c r="F177" s="11" t="n">
        <v>276.21</v>
      </c>
      <c r="G177" s="11" t="n">
        <v>151.77</v>
      </c>
      <c r="H177" s="11" t="n">
        <v>20</v>
      </c>
      <c r="I177" s="11" t="n">
        <v>31.14</v>
      </c>
      <c r="J177" t="inlineStr">
        <is>
          <t>Failed</t>
        </is>
      </c>
      <c r="K177" t="inlineStr">
        <is>
          <t>Bank Transfer</t>
        </is>
      </c>
      <c r="L177" t="n">
        <v>6</v>
      </c>
      <c r="M177" s="11" t="n">
        <v>20.69</v>
      </c>
    </row>
    <row r="178">
      <c r="A178" t="inlineStr">
        <is>
          <t>ORD-1208</t>
        </is>
      </c>
      <c r="B178" s="10" t="n">
        <v>46161</v>
      </c>
      <c r="C178" t="inlineStr">
        <is>
          <t>CUST-008</t>
        </is>
      </c>
      <c r="D178" t="inlineStr">
        <is>
          <t>Greater Accra</t>
        </is>
      </c>
      <c r="E178" t="inlineStr">
        <is>
          <t>Small Appliances</t>
        </is>
      </c>
      <c r="F178" s="11" t="n">
        <v>243.18</v>
      </c>
      <c r="G178" s="11" t="n">
        <v>186.78</v>
      </c>
      <c r="H178" s="11" t="n">
        <v>10</v>
      </c>
      <c r="I178" s="11" t="n">
        <v>14.87</v>
      </c>
      <c r="J178" t="inlineStr">
        <is>
          <t>Delivered</t>
        </is>
      </c>
      <c r="K178" t="inlineStr">
        <is>
          <t>Mobile Money</t>
        </is>
      </c>
      <c r="L178" t="n">
        <v>4</v>
      </c>
      <c r="M178" s="11" t="n">
        <v>0</v>
      </c>
    </row>
    <row r="179">
      <c r="A179" t="inlineStr">
        <is>
          <t>ORD-1097</t>
        </is>
      </c>
      <c r="B179" s="10" t="n">
        <v>46162</v>
      </c>
      <c r="C179" t="inlineStr">
        <is>
          <t>CUST-083</t>
        </is>
      </c>
      <c r="D179" t="inlineStr">
        <is>
          <t>Northern</t>
        </is>
      </c>
      <c r="E179" t="inlineStr">
        <is>
          <t>Home &amp; Kitchen</t>
        </is>
      </c>
      <c r="F179" s="11" t="n">
        <v>288.88</v>
      </c>
      <c r="G179" s="11" t="n">
        <v>136.98</v>
      </c>
      <c r="H179" s="11" t="n">
        <v>10</v>
      </c>
      <c r="I179" s="11" t="n">
        <v>31.49</v>
      </c>
      <c r="J179" t="inlineStr">
        <is>
          <t>Failed</t>
        </is>
      </c>
      <c r="K179" t="inlineStr">
        <is>
          <t>Mobile Money</t>
        </is>
      </c>
      <c r="L179" t="n">
        <v>5</v>
      </c>
      <c r="M179" s="11" t="n">
        <v>18.91</v>
      </c>
    </row>
    <row r="180">
      <c r="A180" t="inlineStr">
        <is>
          <t>ORD-1211</t>
        </is>
      </c>
      <c r="B180" s="10" t="n">
        <v>46162</v>
      </c>
      <c r="C180" t="inlineStr">
        <is>
          <t>CUST-055</t>
        </is>
      </c>
      <c r="D180" t="inlineStr">
        <is>
          <t>Northern</t>
        </is>
      </c>
      <c r="E180" t="inlineStr">
        <is>
          <t>Personal Care</t>
        </is>
      </c>
      <c r="F180" s="11" t="n">
        <v>251.42</v>
      </c>
      <c r="G180" s="11" t="n">
        <v>111.77</v>
      </c>
      <c r="H180" s="11" t="n">
        <v>20</v>
      </c>
      <c r="I180" s="11" t="n">
        <v>33.55</v>
      </c>
      <c r="J180" t="inlineStr">
        <is>
          <t>Delivered</t>
        </is>
      </c>
      <c r="K180" t="inlineStr">
        <is>
          <t>Card</t>
        </is>
      </c>
      <c r="L180" t="n">
        <v>5</v>
      </c>
      <c r="M180" s="11" t="n">
        <v>0</v>
      </c>
    </row>
    <row r="181">
      <c r="A181" t="inlineStr">
        <is>
          <t>ORD-1032</t>
        </is>
      </c>
      <c r="B181" s="10" t="n">
        <v>46163</v>
      </c>
      <c r="C181" t="inlineStr">
        <is>
          <t>CUST-058</t>
        </is>
      </c>
      <c r="D181" t="inlineStr">
        <is>
          <t>Central</t>
        </is>
      </c>
      <c r="E181" t="inlineStr">
        <is>
          <t>Small Appliances</t>
        </is>
      </c>
      <c r="F181" s="11" t="n">
        <v>1153.93</v>
      </c>
      <c r="G181" s="11" t="n">
        <v>790.95</v>
      </c>
      <c r="H181" s="11" t="n">
        <v>20</v>
      </c>
      <c r="I181" s="11" t="n">
        <v>34.52</v>
      </c>
      <c r="J181" t="inlineStr">
        <is>
          <t>Delivered</t>
        </is>
      </c>
      <c r="K181" t="inlineStr">
        <is>
          <t>Mobile Money</t>
        </is>
      </c>
      <c r="L181" t="n">
        <v>2</v>
      </c>
      <c r="M181" s="11" t="n">
        <v>0</v>
      </c>
    </row>
    <row r="182">
      <c r="A182" t="inlineStr">
        <is>
          <t>ORD-1178</t>
        </is>
      </c>
      <c r="B182" s="10" t="n">
        <v>46163</v>
      </c>
      <c r="C182" t="inlineStr">
        <is>
          <t>CUST-036</t>
        </is>
      </c>
      <c r="D182" t="inlineStr">
        <is>
          <t>Northern</t>
        </is>
      </c>
      <c r="E182" t="inlineStr">
        <is>
          <t>Stationery</t>
        </is>
      </c>
      <c r="F182" s="11" t="n">
        <v>117.83</v>
      </c>
      <c r="G182" s="11" t="n">
        <v>54.2</v>
      </c>
      <c r="H182" s="11" t="n">
        <v>15</v>
      </c>
      <c r="I182" s="11" t="n">
        <v>36.75</v>
      </c>
      <c r="J182" t="inlineStr">
        <is>
          <t>Delivered</t>
        </is>
      </c>
      <c r="K182" t="inlineStr">
        <is>
          <t>Card</t>
        </is>
      </c>
      <c r="L182" t="n">
        <v>4</v>
      </c>
      <c r="M182" s="11" t="n">
        <v>0</v>
      </c>
    </row>
    <row r="183">
      <c r="A183" t="inlineStr">
        <is>
          <t>ORD-1203</t>
        </is>
      </c>
      <c r="B183" s="10" t="n">
        <v>46163</v>
      </c>
      <c r="C183" t="inlineStr">
        <is>
          <t>CUST-061</t>
        </is>
      </c>
      <c r="D183" t="inlineStr">
        <is>
          <t>Western</t>
        </is>
      </c>
      <c r="E183" t="inlineStr">
        <is>
          <t>Stationery</t>
        </is>
      </c>
      <c r="F183" s="11" t="n">
        <v>147.33</v>
      </c>
      <c r="G183" s="11" t="n">
        <v>73.45999999999999</v>
      </c>
      <c r="H183" s="11" t="n">
        <v>15</v>
      </c>
      <c r="I183" s="11" t="n">
        <v>30.8</v>
      </c>
      <c r="J183" t="inlineStr">
        <is>
          <t>Delivered</t>
        </is>
      </c>
      <c r="K183" t="inlineStr">
        <is>
          <t>Card</t>
        </is>
      </c>
      <c r="L183" t="n">
        <v>4</v>
      </c>
      <c r="M183" s="11" t="n">
        <v>0</v>
      </c>
    </row>
    <row r="184">
      <c r="A184" t="inlineStr">
        <is>
          <t>ORD-1005</t>
        </is>
      </c>
      <c r="B184" s="10" t="n">
        <v>46165</v>
      </c>
      <c r="C184" t="inlineStr">
        <is>
          <t>CUST-085</t>
        </is>
      </c>
      <c r="D184" t="inlineStr">
        <is>
          <t>Ashanti</t>
        </is>
      </c>
      <c r="E184" t="inlineStr">
        <is>
          <t>Stationery</t>
        </is>
      </c>
      <c r="F184" s="11" t="n">
        <v>40.54</v>
      </c>
      <c r="G184" s="11" t="n">
        <v>16.35</v>
      </c>
      <c r="H184" s="11" t="n">
        <v>10</v>
      </c>
      <c r="I184" s="11" t="n">
        <v>20.79</v>
      </c>
      <c r="J184" t="inlineStr">
        <is>
          <t>Delivered</t>
        </is>
      </c>
      <c r="K184" t="inlineStr">
        <is>
          <t>Cash on Delivery</t>
        </is>
      </c>
      <c r="L184" t="n">
        <v>4</v>
      </c>
      <c r="M184" s="11" t="n">
        <v>0</v>
      </c>
    </row>
    <row r="185">
      <c r="A185" t="inlineStr">
        <is>
          <t>ORD-1091</t>
        </is>
      </c>
      <c r="B185" s="10" t="n">
        <v>46165</v>
      </c>
      <c r="C185" t="inlineStr">
        <is>
          <t>CUST-047</t>
        </is>
      </c>
      <c r="D185" t="inlineStr">
        <is>
          <t>Greater Accra</t>
        </is>
      </c>
      <c r="E185" t="inlineStr">
        <is>
          <t>Electronics Accessories</t>
        </is>
      </c>
      <c r="F185" s="11" t="n">
        <v>403.55</v>
      </c>
      <c r="G185" s="11" t="n">
        <v>229.06</v>
      </c>
      <c r="H185" s="11" t="n">
        <v>10</v>
      </c>
      <c r="I185" s="11" t="n">
        <v>16.55</v>
      </c>
      <c r="J185" t="inlineStr">
        <is>
          <t>Delivered</t>
        </is>
      </c>
      <c r="K185" t="inlineStr">
        <is>
          <t>Cash on Delivery</t>
        </is>
      </c>
      <c r="L185" t="n">
        <v>1</v>
      </c>
      <c r="M185" s="11" t="n">
        <v>0</v>
      </c>
    </row>
    <row r="186">
      <c r="A186" t="inlineStr">
        <is>
          <t>ORD-1111</t>
        </is>
      </c>
      <c r="B186" s="10" t="n">
        <v>46165</v>
      </c>
      <c r="C186" t="inlineStr">
        <is>
          <t>CUST-004</t>
        </is>
      </c>
      <c r="D186" t="inlineStr">
        <is>
          <t>Greater Accra</t>
        </is>
      </c>
      <c r="E186" t="inlineStr">
        <is>
          <t>Personal Care</t>
        </is>
      </c>
      <c r="F186" s="11" t="n">
        <v>205.9</v>
      </c>
      <c r="G186" s="11" t="n">
        <v>108.06</v>
      </c>
      <c r="H186" s="11" t="n">
        <v>10</v>
      </c>
      <c r="I186" s="11" t="n">
        <v>13.8</v>
      </c>
      <c r="J186" t="inlineStr">
        <is>
          <t>Delivered</t>
        </is>
      </c>
      <c r="K186" t="inlineStr">
        <is>
          <t>Mobile Money</t>
        </is>
      </c>
      <c r="L186" t="n">
        <v>1</v>
      </c>
      <c r="M186" s="11" t="n">
        <v>0</v>
      </c>
    </row>
    <row r="187">
      <c r="A187" t="inlineStr">
        <is>
          <t>ORD-1242</t>
        </is>
      </c>
      <c r="B187" s="10" t="n">
        <v>46165</v>
      </c>
      <c r="C187" t="inlineStr">
        <is>
          <t>CUST-072</t>
        </is>
      </c>
      <c r="D187" t="inlineStr">
        <is>
          <t>Western</t>
        </is>
      </c>
      <c r="E187" t="inlineStr">
        <is>
          <t>Personal Care</t>
        </is>
      </c>
      <c r="F187" s="11" t="n">
        <v>53.41</v>
      </c>
      <c r="G187" s="11" t="n">
        <v>22.23</v>
      </c>
      <c r="H187" s="11" t="n">
        <v>30</v>
      </c>
      <c r="I187" s="11" t="n">
        <v>39.93</v>
      </c>
      <c r="J187" t="inlineStr">
        <is>
          <t>Delivered</t>
        </is>
      </c>
      <c r="K187" t="inlineStr">
        <is>
          <t>Mobile Money</t>
        </is>
      </c>
      <c r="L187" t="n">
        <v>4</v>
      </c>
      <c r="M187" s="11" t="n">
        <v>0</v>
      </c>
    </row>
    <row r="188">
      <c r="A188" t="inlineStr">
        <is>
          <t>ORD-1191</t>
        </is>
      </c>
      <c r="B188" s="10" t="n">
        <v>46166</v>
      </c>
      <c r="C188" t="inlineStr">
        <is>
          <t>CUST-090</t>
        </is>
      </c>
      <c r="D188" t="inlineStr">
        <is>
          <t>Greater Accra</t>
        </is>
      </c>
      <c r="E188" t="inlineStr">
        <is>
          <t>Home &amp; Kitchen</t>
        </is>
      </c>
      <c r="F188" s="11" t="n">
        <v>115.54</v>
      </c>
      <c r="G188" s="11" t="n">
        <v>66.25</v>
      </c>
      <c r="H188" s="11" t="n">
        <v>15</v>
      </c>
      <c r="I188" s="11" t="n">
        <v>19.42</v>
      </c>
      <c r="J188" t="inlineStr">
        <is>
          <t>Delivered</t>
        </is>
      </c>
      <c r="K188" t="inlineStr">
        <is>
          <t>Cash on Delivery</t>
        </is>
      </c>
      <c r="L188" t="n">
        <v>3</v>
      </c>
      <c r="M188" s="11" t="n">
        <v>0</v>
      </c>
    </row>
    <row r="189">
      <c r="A189" t="inlineStr">
        <is>
          <t>ORD-1124</t>
        </is>
      </c>
      <c r="B189" s="10" t="n">
        <v>46167</v>
      </c>
      <c r="C189" t="inlineStr">
        <is>
          <t>CUST-083</t>
        </is>
      </c>
      <c r="D189" t="inlineStr">
        <is>
          <t>Northern</t>
        </is>
      </c>
      <c r="E189" t="inlineStr">
        <is>
          <t>Personal Care</t>
        </is>
      </c>
      <c r="F189" s="11" t="n">
        <v>196.74</v>
      </c>
      <c r="G189" s="11" t="n">
        <v>109.3</v>
      </c>
      <c r="H189" s="11" t="n">
        <v>20</v>
      </c>
      <c r="I189" s="11" t="n">
        <v>33.51</v>
      </c>
      <c r="J189" t="inlineStr">
        <is>
          <t>Delivered</t>
        </is>
      </c>
      <c r="K189" t="inlineStr">
        <is>
          <t>Mobile Money</t>
        </is>
      </c>
      <c r="L189" t="n">
        <v>4</v>
      </c>
      <c r="M189" s="11" t="n">
        <v>0</v>
      </c>
    </row>
    <row r="190">
      <c r="A190" t="inlineStr">
        <is>
          <t>ORD-1138</t>
        </is>
      </c>
      <c r="B190" s="10" t="n">
        <v>46169</v>
      </c>
      <c r="C190" t="inlineStr">
        <is>
          <t>CUST-057</t>
        </is>
      </c>
      <c r="D190" t="inlineStr">
        <is>
          <t>Greater Accra</t>
        </is>
      </c>
      <c r="E190" t="inlineStr">
        <is>
          <t>Home &amp; Kitchen</t>
        </is>
      </c>
      <c r="F190" s="11" t="n">
        <v>219.06</v>
      </c>
      <c r="G190" s="11" t="n">
        <v>111.44</v>
      </c>
      <c r="H190" s="11" t="n">
        <v>30</v>
      </c>
      <c r="I190" s="11" t="n">
        <v>36.19</v>
      </c>
      <c r="J190" t="inlineStr">
        <is>
          <t>Delivered</t>
        </is>
      </c>
      <c r="K190" t="inlineStr">
        <is>
          <t>Mobile Money</t>
        </is>
      </c>
      <c r="L190" t="n">
        <v>2</v>
      </c>
      <c r="M190" s="11" t="n">
        <v>0</v>
      </c>
    </row>
    <row r="191">
      <c r="A191" t="inlineStr">
        <is>
          <t>ORD-1159</t>
        </is>
      </c>
      <c r="B191" s="10" t="n">
        <v>46169</v>
      </c>
      <c r="C191" t="inlineStr">
        <is>
          <t>CUST-018</t>
        </is>
      </c>
      <c r="D191" t="inlineStr">
        <is>
          <t>Northern</t>
        </is>
      </c>
      <c r="E191" t="inlineStr">
        <is>
          <t>Personal Care</t>
        </is>
      </c>
      <c r="F191" s="11" t="n">
        <v>134.46</v>
      </c>
      <c r="G191" s="11" t="n">
        <v>69.51000000000001</v>
      </c>
      <c r="H191" s="11" t="n">
        <v>15</v>
      </c>
      <c r="I191" s="11" t="n">
        <v>36.61</v>
      </c>
      <c r="J191" t="inlineStr">
        <is>
          <t>Delivered</t>
        </is>
      </c>
      <c r="K191" t="inlineStr">
        <is>
          <t>Mobile Money</t>
        </is>
      </c>
      <c r="L191" t="n">
        <v>3</v>
      </c>
      <c r="M191" s="11" t="n">
        <v>0</v>
      </c>
    </row>
    <row r="192">
      <c r="A192" t="inlineStr">
        <is>
          <t>ORD-1170</t>
        </is>
      </c>
      <c r="B192" s="10" t="n">
        <v>46169</v>
      </c>
      <c r="C192" t="inlineStr">
        <is>
          <t>CUST-054</t>
        </is>
      </c>
      <c r="D192" t="inlineStr">
        <is>
          <t>Western</t>
        </is>
      </c>
      <c r="E192" t="inlineStr">
        <is>
          <t>Personal Care</t>
        </is>
      </c>
      <c r="F192" s="11" t="n">
        <v>33.33</v>
      </c>
      <c r="G192" s="11" t="n">
        <v>18.67</v>
      </c>
      <c r="H192" s="11" t="n">
        <v>30</v>
      </c>
      <c r="I192" s="11" t="n">
        <v>41.9</v>
      </c>
      <c r="J192" t="inlineStr">
        <is>
          <t>Failed</t>
        </is>
      </c>
      <c r="K192" t="inlineStr">
        <is>
          <t>Cash on Delivery</t>
        </is>
      </c>
      <c r="L192" t="n">
        <v>8</v>
      </c>
      <c r="M192" s="11" t="n">
        <v>13.06</v>
      </c>
    </row>
    <row r="193">
      <c r="A193" t="inlineStr">
        <is>
          <t>ORD-1189</t>
        </is>
      </c>
      <c r="B193" s="10" t="n">
        <v>46169</v>
      </c>
      <c r="C193" t="inlineStr">
        <is>
          <t>CUST-087</t>
        </is>
      </c>
      <c r="D193" t="inlineStr">
        <is>
          <t>Western</t>
        </is>
      </c>
      <c r="E193" t="inlineStr">
        <is>
          <t>Personal Care</t>
        </is>
      </c>
      <c r="F193" s="11" t="n">
        <v>271.33</v>
      </c>
      <c r="G193" s="11" t="n">
        <v>127.8</v>
      </c>
      <c r="H193" s="11" t="n">
        <v>20</v>
      </c>
      <c r="I193" s="11" t="n">
        <v>38.55</v>
      </c>
      <c r="J193" t="inlineStr">
        <is>
          <t>Delivered</t>
        </is>
      </c>
      <c r="K193" t="inlineStr">
        <is>
          <t>Mobile Money</t>
        </is>
      </c>
      <c r="L193" t="n">
        <v>2</v>
      </c>
      <c r="M193" s="11" t="n">
        <v>0</v>
      </c>
    </row>
    <row r="194">
      <c r="A194" t="inlineStr">
        <is>
          <t>ORD-1205</t>
        </is>
      </c>
      <c r="B194" s="10" t="n">
        <v>46169</v>
      </c>
      <c r="C194" t="inlineStr">
        <is>
          <t>CUST-069</t>
        </is>
      </c>
      <c r="D194" t="inlineStr">
        <is>
          <t>Ashanti</t>
        </is>
      </c>
      <c r="E194" t="inlineStr">
        <is>
          <t>Electronics Accessories</t>
        </is>
      </c>
      <c r="F194" s="11" t="n">
        <v>349.06</v>
      </c>
      <c r="G194" s="11" t="n">
        <v>214.2</v>
      </c>
      <c r="H194" s="11" t="n">
        <v>10</v>
      </c>
      <c r="I194" s="11" t="n">
        <v>21.8</v>
      </c>
      <c r="J194" t="inlineStr">
        <is>
          <t>Delivered</t>
        </is>
      </c>
      <c r="K194" t="inlineStr">
        <is>
          <t>Cash on Delivery</t>
        </is>
      </c>
      <c r="L194" t="n">
        <v>3</v>
      </c>
      <c r="M194" s="11" t="n">
        <v>0</v>
      </c>
    </row>
    <row r="195">
      <c r="A195" t="inlineStr">
        <is>
          <t>ORD-1036</t>
        </is>
      </c>
      <c r="B195" s="10" t="n">
        <v>46170</v>
      </c>
      <c r="C195" t="inlineStr">
        <is>
          <t>CUST-049</t>
        </is>
      </c>
      <c r="D195" t="inlineStr">
        <is>
          <t>Northern</t>
        </is>
      </c>
      <c r="E195" t="inlineStr">
        <is>
          <t>Home &amp; Kitchen</t>
        </is>
      </c>
      <c r="F195" s="11" t="n">
        <v>615.64</v>
      </c>
      <c r="G195" s="11" t="n">
        <v>303.97</v>
      </c>
      <c r="H195" s="11" t="n">
        <v>25</v>
      </c>
      <c r="I195" s="11" t="n">
        <v>45.53</v>
      </c>
      <c r="J195" t="inlineStr">
        <is>
          <t>Failed</t>
        </is>
      </c>
      <c r="K195" t="inlineStr">
        <is>
          <t>Mobile Money</t>
        </is>
      </c>
      <c r="L195" t="n">
        <v>5</v>
      </c>
      <c r="M195" s="11" t="n">
        <v>16.3</v>
      </c>
    </row>
    <row r="196">
      <c r="A196" t="inlineStr">
        <is>
          <t>ORD-1174</t>
        </is>
      </c>
      <c r="B196" s="10" t="n">
        <v>46170</v>
      </c>
      <c r="C196" t="inlineStr">
        <is>
          <t>CUST-041</t>
        </is>
      </c>
      <c r="D196" t="inlineStr">
        <is>
          <t>Central</t>
        </is>
      </c>
      <c r="E196" t="inlineStr">
        <is>
          <t>Electronics Accessories</t>
        </is>
      </c>
      <c r="F196" s="11" t="n">
        <v>210.66</v>
      </c>
      <c r="G196" s="11" t="n">
        <v>147.31</v>
      </c>
      <c r="H196" s="11" t="n">
        <v>25</v>
      </c>
      <c r="I196" s="11" t="n">
        <v>36.99</v>
      </c>
      <c r="J196" t="inlineStr">
        <is>
          <t>Delivered</t>
        </is>
      </c>
      <c r="K196" t="inlineStr">
        <is>
          <t>Mobile Money</t>
        </is>
      </c>
      <c r="L196" t="n">
        <v>1</v>
      </c>
      <c r="M196" s="11" t="n">
        <v>0</v>
      </c>
    </row>
    <row r="197">
      <c r="A197" t="inlineStr">
        <is>
          <t>ORD-1149</t>
        </is>
      </c>
      <c r="B197" s="10" t="n">
        <v>46171</v>
      </c>
      <c r="C197" t="inlineStr">
        <is>
          <t>CUST-043</t>
        </is>
      </c>
      <c r="D197" t="inlineStr">
        <is>
          <t>Greater Accra</t>
        </is>
      </c>
      <c r="E197" t="inlineStr">
        <is>
          <t>Electronics Accessories</t>
        </is>
      </c>
      <c r="F197" s="11" t="n">
        <v>368.89</v>
      </c>
      <c r="G197" s="11" t="n">
        <v>214.3</v>
      </c>
      <c r="H197" s="11" t="n">
        <v>15</v>
      </c>
      <c r="I197" s="11" t="n">
        <v>25.3</v>
      </c>
      <c r="J197" t="inlineStr">
        <is>
          <t>Delivered</t>
        </is>
      </c>
      <c r="K197" t="inlineStr">
        <is>
          <t>Bank Transfer</t>
        </is>
      </c>
      <c r="L197" t="n">
        <v>1</v>
      </c>
      <c r="M197" s="11" t="n">
        <v>0</v>
      </c>
    </row>
    <row r="198">
      <c r="A198" t="inlineStr">
        <is>
          <t>ORD-1183</t>
        </is>
      </c>
      <c r="B198" s="10" t="n">
        <v>46171</v>
      </c>
      <c r="C198" t="inlineStr">
        <is>
          <t>CUST-074</t>
        </is>
      </c>
      <c r="D198" t="inlineStr">
        <is>
          <t>Ashanti</t>
        </is>
      </c>
      <c r="E198" t="inlineStr">
        <is>
          <t>Electronics Accessories</t>
        </is>
      </c>
      <c r="F198" s="11" t="n">
        <v>122.11</v>
      </c>
      <c r="G198" s="11" t="n">
        <v>74.06</v>
      </c>
      <c r="H198" s="11" t="n">
        <v>30</v>
      </c>
      <c r="I198" s="11" t="n">
        <v>41.29</v>
      </c>
      <c r="J198" t="inlineStr">
        <is>
          <t>Delivered</t>
        </is>
      </c>
      <c r="K198" t="inlineStr">
        <is>
          <t>Card</t>
        </is>
      </c>
      <c r="L198" t="n">
        <v>2</v>
      </c>
      <c r="M198" s="11" t="n">
        <v>0</v>
      </c>
    </row>
    <row r="199">
      <c r="A199" t="inlineStr">
        <is>
          <t>ORD-1092</t>
        </is>
      </c>
      <c r="B199" s="10" t="n">
        <v>46172</v>
      </c>
      <c r="C199" t="inlineStr">
        <is>
          <t>CUST-049</t>
        </is>
      </c>
      <c r="D199" t="inlineStr">
        <is>
          <t>Northern</t>
        </is>
      </c>
      <c r="E199" t="inlineStr">
        <is>
          <t>Stationery</t>
        </is>
      </c>
      <c r="F199" s="11" t="n">
        <v>170.15</v>
      </c>
      <c r="G199" s="11" t="n">
        <v>62.87</v>
      </c>
      <c r="H199" s="11" t="n">
        <v>15</v>
      </c>
      <c r="I199" s="11" t="n">
        <v>31.71</v>
      </c>
      <c r="J199" t="inlineStr">
        <is>
          <t>Delivered</t>
        </is>
      </c>
      <c r="K199" t="inlineStr">
        <is>
          <t>Bank Transfer</t>
        </is>
      </c>
      <c r="L199" t="n">
        <v>6</v>
      </c>
      <c r="M199" s="11" t="n">
        <v>0</v>
      </c>
    </row>
    <row r="200">
      <c r="A200" t="inlineStr">
        <is>
          <t>ORD-1225</t>
        </is>
      </c>
      <c r="B200" s="10" t="n">
        <v>46172</v>
      </c>
      <c r="C200" t="inlineStr">
        <is>
          <t>CUST-075</t>
        </is>
      </c>
      <c r="D200" t="inlineStr">
        <is>
          <t>Central</t>
        </is>
      </c>
      <c r="E200" t="inlineStr">
        <is>
          <t>Stationery</t>
        </is>
      </c>
      <c r="F200" s="11" t="n">
        <v>63.71</v>
      </c>
      <c r="G200" s="11" t="n">
        <v>24.55</v>
      </c>
      <c r="H200" s="11" t="n">
        <v>15</v>
      </c>
      <c r="I200" s="11" t="n">
        <v>25.8</v>
      </c>
      <c r="J200" t="inlineStr">
        <is>
          <t>Delivered</t>
        </is>
      </c>
      <c r="K200" t="inlineStr">
        <is>
          <t>Cash on Delivery</t>
        </is>
      </c>
      <c r="L200" t="n">
        <v>3</v>
      </c>
      <c r="M200" s="11" t="n">
        <v>0</v>
      </c>
    </row>
    <row r="201">
      <c r="A201" t="inlineStr">
        <is>
          <t>ORD-1099</t>
        </is>
      </c>
      <c r="B201" s="10" t="n">
        <v>46173</v>
      </c>
      <c r="C201" t="inlineStr">
        <is>
          <t>CUST-028</t>
        </is>
      </c>
      <c r="D201" t="inlineStr">
        <is>
          <t>Greater Accra</t>
        </is>
      </c>
      <c r="E201" t="inlineStr">
        <is>
          <t>Stationery</t>
        </is>
      </c>
      <c r="F201" s="11" t="n">
        <v>53.44</v>
      </c>
      <c r="G201" s="11" t="n">
        <v>26.15</v>
      </c>
      <c r="H201" s="11" t="n">
        <v>30</v>
      </c>
      <c r="I201" s="11" t="n">
        <v>32.03</v>
      </c>
      <c r="J201" t="inlineStr">
        <is>
          <t>Delivered</t>
        </is>
      </c>
      <c r="K201" t="inlineStr">
        <is>
          <t>Mobile Money</t>
        </is>
      </c>
      <c r="L201" t="n">
        <v>1</v>
      </c>
      <c r="M201" s="11" t="n">
        <v>0</v>
      </c>
    </row>
    <row r="202">
      <c r="A202" t="inlineStr">
        <is>
          <t>ORD-1101</t>
        </is>
      </c>
      <c r="B202" s="10" t="n">
        <v>46173</v>
      </c>
      <c r="C202" t="inlineStr">
        <is>
          <t>CUST-042</t>
        </is>
      </c>
      <c r="D202" t="inlineStr">
        <is>
          <t>Greater Accra</t>
        </is>
      </c>
      <c r="E202" t="inlineStr">
        <is>
          <t>Electronics Accessories</t>
        </is>
      </c>
      <c r="F202" s="11" t="n">
        <v>297.6</v>
      </c>
      <c r="G202" s="11" t="n">
        <v>161.54</v>
      </c>
      <c r="H202" s="11" t="n">
        <v>25</v>
      </c>
      <c r="I202" s="11" t="n">
        <v>32.26</v>
      </c>
      <c r="J202" t="inlineStr">
        <is>
          <t>Delivered</t>
        </is>
      </c>
      <c r="K202" t="inlineStr">
        <is>
          <t>Mobile Money</t>
        </is>
      </c>
      <c r="L202" t="n">
        <v>2</v>
      </c>
      <c r="M202" s="11" t="n">
        <v>0</v>
      </c>
    </row>
    <row r="203">
      <c r="A203" t="inlineStr">
        <is>
          <t>ORD-1038</t>
        </is>
      </c>
      <c r="B203" s="10" t="n">
        <v>46174</v>
      </c>
      <c r="C203" t="inlineStr">
        <is>
          <t>CUST-073</t>
        </is>
      </c>
      <c r="D203" t="inlineStr">
        <is>
          <t>Eastern</t>
        </is>
      </c>
      <c r="E203" t="inlineStr">
        <is>
          <t>Personal Care</t>
        </is>
      </c>
      <c r="F203" s="11" t="n">
        <v>48.09</v>
      </c>
      <c r="G203" s="11" t="n">
        <v>22.95</v>
      </c>
      <c r="H203" s="11" t="n">
        <v>25</v>
      </c>
      <c r="I203" s="11" t="n">
        <v>32.82</v>
      </c>
      <c r="J203" t="inlineStr">
        <is>
          <t>Delivered</t>
        </is>
      </c>
      <c r="K203" t="inlineStr">
        <is>
          <t>Mobile Money</t>
        </is>
      </c>
      <c r="L203" t="n">
        <v>2</v>
      </c>
      <c r="M203" s="11" t="n">
        <v>0</v>
      </c>
    </row>
    <row r="204">
      <c r="A204" t="inlineStr">
        <is>
          <t>ORD-1047</t>
        </is>
      </c>
      <c r="B204" s="10" t="n">
        <v>46174</v>
      </c>
      <c r="C204" t="inlineStr">
        <is>
          <t>CUST-035</t>
        </is>
      </c>
      <c r="D204" t="inlineStr">
        <is>
          <t>Ashanti</t>
        </is>
      </c>
      <c r="E204" t="inlineStr">
        <is>
          <t>Home &amp; Kitchen</t>
        </is>
      </c>
      <c r="F204" s="11" t="n">
        <v>197.3</v>
      </c>
      <c r="G204" s="11" t="n">
        <v>120</v>
      </c>
      <c r="H204" s="11" t="n">
        <v>20</v>
      </c>
      <c r="I204" s="11" t="n">
        <v>33.82</v>
      </c>
      <c r="J204" t="inlineStr">
        <is>
          <t>Delivered</t>
        </is>
      </c>
      <c r="K204" t="inlineStr">
        <is>
          <t>Mobile Money</t>
        </is>
      </c>
      <c r="L204" t="n">
        <v>3</v>
      </c>
      <c r="M204" s="11" t="n">
        <v>0</v>
      </c>
    </row>
    <row r="205">
      <c r="A205" t="inlineStr">
        <is>
          <t>ORD-1116</t>
        </is>
      </c>
      <c r="B205" s="10" t="n">
        <v>46174</v>
      </c>
      <c r="C205" t="inlineStr">
        <is>
          <t>CUST-063</t>
        </is>
      </c>
      <c r="D205" t="inlineStr">
        <is>
          <t>Northern</t>
        </is>
      </c>
      <c r="E205" t="inlineStr">
        <is>
          <t>Personal Care</t>
        </is>
      </c>
      <c r="F205" s="11" t="n">
        <v>109.82</v>
      </c>
      <c r="G205" s="11" t="n">
        <v>48.29</v>
      </c>
      <c r="H205" s="11" t="n">
        <v>30</v>
      </c>
      <c r="I205" s="11" t="n">
        <v>42.55</v>
      </c>
      <c r="J205" t="inlineStr">
        <is>
          <t>Delivered</t>
        </is>
      </c>
      <c r="K205" t="inlineStr">
        <is>
          <t>Bank Transfer</t>
        </is>
      </c>
      <c r="L205" t="n">
        <v>4</v>
      </c>
      <c r="M205" s="11" t="n">
        <v>0</v>
      </c>
    </row>
    <row r="206">
      <c r="A206" t="inlineStr">
        <is>
          <t>ORD-1216</t>
        </is>
      </c>
      <c r="B206" s="10" t="n">
        <v>46174</v>
      </c>
      <c r="C206" t="inlineStr">
        <is>
          <t>CUST-023</t>
        </is>
      </c>
      <c r="D206" t="inlineStr">
        <is>
          <t>Ashanti</t>
        </is>
      </c>
      <c r="E206" t="inlineStr">
        <is>
          <t>Personal Care</t>
        </is>
      </c>
      <c r="F206" s="11" t="n">
        <v>142.48</v>
      </c>
      <c r="G206" s="11" t="n">
        <v>69.7</v>
      </c>
      <c r="H206" s="11" t="n">
        <v>20</v>
      </c>
      <c r="I206" s="11" t="n">
        <v>34.42</v>
      </c>
      <c r="J206" t="inlineStr">
        <is>
          <t>Delivered</t>
        </is>
      </c>
      <c r="K206" t="inlineStr">
        <is>
          <t>Card</t>
        </is>
      </c>
      <c r="L206" t="n">
        <v>3</v>
      </c>
      <c r="M206" s="11" t="n">
        <v>0</v>
      </c>
    </row>
    <row r="207">
      <c r="A207" t="inlineStr">
        <is>
          <t>ORD-1098</t>
        </is>
      </c>
      <c r="B207" s="10" t="n">
        <v>46175</v>
      </c>
      <c r="C207" t="inlineStr">
        <is>
          <t>CUST-003</t>
        </is>
      </c>
      <c r="D207" t="inlineStr">
        <is>
          <t>Greater Accra</t>
        </is>
      </c>
      <c r="E207" t="inlineStr">
        <is>
          <t>Electronics Accessories</t>
        </is>
      </c>
      <c r="F207" s="11" t="n">
        <v>353.48</v>
      </c>
      <c r="G207" s="11" t="n">
        <v>246.72</v>
      </c>
      <c r="H207" s="11" t="n">
        <v>30</v>
      </c>
      <c r="I207" s="11" t="n">
        <v>34.05</v>
      </c>
      <c r="J207" t="inlineStr">
        <is>
          <t>Delivered</t>
        </is>
      </c>
      <c r="K207" t="inlineStr">
        <is>
          <t>Cash on Delivery</t>
        </is>
      </c>
      <c r="L207" t="n">
        <v>2</v>
      </c>
      <c r="M207" s="11" t="n">
        <v>0</v>
      </c>
    </row>
    <row r="208">
      <c r="A208" t="inlineStr">
        <is>
          <t>ORD-1114</t>
        </is>
      </c>
      <c r="B208" s="10" t="n">
        <v>46175</v>
      </c>
      <c r="C208" t="inlineStr">
        <is>
          <t>CUST-011</t>
        </is>
      </c>
      <c r="D208" t="inlineStr">
        <is>
          <t>Greater Accra</t>
        </is>
      </c>
      <c r="E208" t="inlineStr">
        <is>
          <t>Small Appliances</t>
        </is>
      </c>
      <c r="F208" s="11" t="n">
        <v>360.03</v>
      </c>
      <c r="G208" s="11" t="n">
        <v>264.91</v>
      </c>
      <c r="H208" s="11" t="n">
        <v>10</v>
      </c>
      <c r="I208" s="11" t="n">
        <v>18.74</v>
      </c>
      <c r="J208" t="inlineStr">
        <is>
          <t>Delivered</t>
        </is>
      </c>
      <c r="K208" t="inlineStr">
        <is>
          <t>Cash on Delivery</t>
        </is>
      </c>
      <c r="L208" t="n">
        <v>3</v>
      </c>
      <c r="M208" s="11" t="n">
        <v>0</v>
      </c>
    </row>
    <row r="209">
      <c r="A209" t="inlineStr">
        <is>
          <t>ORD-1044</t>
        </is>
      </c>
      <c r="B209" s="10" t="n">
        <v>46176</v>
      </c>
      <c r="C209" t="inlineStr">
        <is>
          <t>CUST-016</t>
        </is>
      </c>
      <c r="D209" t="inlineStr">
        <is>
          <t>Northern</t>
        </is>
      </c>
      <c r="E209" t="inlineStr">
        <is>
          <t>Stationery</t>
        </is>
      </c>
      <c r="F209" s="11" t="n">
        <v>108.38</v>
      </c>
      <c r="G209" s="11" t="n">
        <v>38.73</v>
      </c>
      <c r="H209" s="11" t="n">
        <v>30</v>
      </c>
      <c r="I209" s="11" t="n">
        <v>46.28</v>
      </c>
      <c r="J209" t="inlineStr">
        <is>
          <t>Delivered</t>
        </is>
      </c>
      <c r="K209" t="inlineStr">
        <is>
          <t>Cash on Delivery</t>
        </is>
      </c>
      <c r="L209" t="n">
        <v>3</v>
      </c>
      <c r="M209" s="11" t="n">
        <v>0</v>
      </c>
    </row>
    <row r="210">
      <c r="A210" t="inlineStr">
        <is>
          <t>ORD-1072</t>
        </is>
      </c>
      <c r="B210" s="10" t="n">
        <v>46176</v>
      </c>
      <c r="C210" t="inlineStr">
        <is>
          <t>CUST-066</t>
        </is>
      </c>
      <c r="D210" t="inlineStr">
        <is>
          <t>Central</t>
        </is>
      </c>
      <c r="E210" t="inlineStr">
        <is>
          <t>Stationery</t>
        </is>
      </c>
      <c r="F210" s="11" t="n">
        <v>37.52</v>
      </c>
      <c r="G210" s="11" t="n">
        <v>13.6</v>
      </c>
      <c r="H210" s="11" t="n">
        <v>25</v>
      </c>
      <c r="I210" s="11" t="n">
        <v>35.4</v>
      </c>
      <c r="J210" t="inlineStr">
        <is>
          <t>Delivered</t>
        </is>
      </c>
      <c r="K210" t="inlineStr">
        <is>
          <t>Mobile Money</t>
        </is>
      </c>
      <c r="L210" t="n">
        <v>2</v>
      </c>
      <c r="M210" s="11" t="n">
        <v>0</v>
      </c>
    </row>
    <row r="211">
      <c r="A211" t="inlineStr">
        <is>
          <t>ORD-1131</t>
        </is>
      </c>
      <c r="B211" s="10" t="n">
        <v>46177</v>
      </c>
      <c r="C211" t="inlineStr">
        <is>
          <t>CUST-020</t>
        </is>
      </c>
      <c r="D211" t="inlineStr">
        <is>
          <t>Greater Accra</t>
        </is>
      </c>
      <c r="E211" t="inlineStr">
        <is>
          <t>Home &amp; Kitchen</t>
        </is>
      </c>
      <c r="F211" s="11" t="n">
        <v>399.64</v>
      </c>
      <c r="G211" s="11" t="n">
        <v>186.02</v>
      </c>
      <c r="H211" s="11" t="n">
        <v>20</v>
      </c>
      <c r="I211" s="11" t="n">
        <v>25.1</v>
      </c>
      <c r="J211" t="inlineStr">
        <is>
          <t>Delivered</t>
        </is>
      </c>
      <c r="K211" t="inlineStr">
        <is>
          <t>Cash on Delivery</t>
        </is>
      </c>
      <c r="L211" t="n">
        <v>2</v>
      </c>
      <c r="M211" s="11" t="n">
        <v>0</v>
      </c>
    </row>
    <row r="212">
      <c r="A212" t="inlineStr">
        <is>
          <t>ORD-1139</t>
        </is>
      </c>
      <c r="B212" s="10" t="n">
        <v>46177</v>
      </c>
      <c r="C212" t="inlineStr">
        <is>
          <t>CUST-018</t>
        </is>
      </c>
      <c r="D212" t="inlineStr">
        <is>
          <t>Northern</t>
        </is>
      </c>
      <c r="E212" t="inlineStr">
        <is>
          <t>Small Appliances</t>
        </is>
      </c>
      <c r="F212" s="11" t="n">
        <v>220.44</v>
      </c>
      <c r="G212" s="11" t="n">
        <v>151.33</v>
      </c>
      <c r="H212" s="11" t="n">
        <v>20</v>
      </c>
      <c r="I212" s="11" t="n">
        <v>37.55</v>
      </c>
      <c r="J212" t="inlineStr">
        <is>
          <t>Delivered</t>
        </is>
      </c>
      <c r="K212" t="inlineStr">
        <is>
          <t>Card</t>
        </is>
      </c>
      <c r="L212" t="n">
        <v>4</v>
      </c>
      <c r="M212" s="11" t="n">
        <v>0</v>
      </c>
    </row>
    <row r="213">
      <c r="A213" t="inlineStr">
        <is>
          <t>ORD-1042</t>
        </is>
      </c>
      <c r="B213" s="10" t="n">
        <v>46178</v>
      </c>
      <c r="C213" t="inlineStr">
        <is>
          <t>CUST-015</t>
        </is>
      </c>
      <c r="D213" t="inlineStr">
        <is>
          <t>Northern</t>
        </is>
      </c>
      <c r="E213" t="inlineStr">
        <is>
          <t>Stationery</t>
        </is>
      </c>
      <c r="F213" s="11" t="n">
        <v>42.02</v>
      </c>
      <c r="G213" s="11" t="n">
        <v>17.06</v>
      </c>
      <c r="H213" s="11" t="n">
        <v>30</v>
      </c>
      <c r="I213" s="11" t="n">
        <v>42.26</v>
      </c>
      <c r="J213" t="inlineStr">
        <is>
          <t>Delivered</t>
        </is>
      </c>
      <c r="K213" t="inlineStr">
        <is>
          <t>Cash on Delivery</t>
        </is>
      </c>
      <c r="L213" t="n">
        <v>6</v>
      </c>
      <c r="M213" s="11" t="n">
        <v>0</v>
      </c>
    </row>
    <row r="214">
      <c r="A214" t="inlineStr">
        <is>
          <t>ORD-1048</t>
        </is>
      </c>
      <c r="B214" s="10" t="n">
        <v>46179</v>
      </c>
      <c r="C214" t="inlineStr">
        <is>
          <t>CUST-086</t>
        </is>
      </c>
      <c r="D214" t="inlineStr">
        <is>
          <t>Greater Accra</t>
        </is>
      </c>
      <c r="E214" t="inlineStr">
        <is>
          <t>Home &amp; Kitchen</t>
        </is>
      </c>
      <c r="F214" s="11" t="n">
        <v>67.22</v>
      </c>
      <c r="G214" s="11" t="n">
        <v>39.87</v>
      </c>
      <c r="H214" s="11" t="n">
        <v>15</v>
      </c>
      <c r="I214" s="11" t="n">
        <v>21.88</v>
      </c>
      <c r="J214" t="inlineStr">
        <is>
          <t>Delivered</t>
        </is>
      </c>
      <c r="K214" t="inlineStr">
        <is>
          <t>Mobile Money</t>
        </is>
      </c>
      <c r="L214" t="n">
        <v>1</v>
      </c>
      <c r="M214" s="11" t="n">
        <v>0</v>
      </c>
    </row>
    <row r="215">
      <c r="A215" t="inlineStr">
        <is>
          <t>ORD-1156</t>
        </is>
      </c>
      <c r="B215" s="10" t="n">
        <v>46180</v>
      </c>
      <c r="C215" t="inlineStr">
        <is>
          <t>CUST-056</t>
        </is>
      </c>
      <c r="D215" t="inlineStr">
        <is>
          <t>Northern</t>
        </is>
      </c>
      <c r="E215" t="inlineStr">
        <is>
          <t>Home &amp; Kitchen</t>
        </is>
      </c>
      <c r="F215" s="11" t="n">
        <v>638.02</v>
      </c>
      <c r="G215" s="11" t="n">
        <v>389.59</v>
      </c>
      <c r="H215" s="11" t="n">
        <v>10</v>
      </c>
      <c r="I215" s="11" t="n">
        <v>28.71</v>
      </c>
      <c r="J215" t="inlineStr">
        <is>
          <t>Delivered</t>
        </is>
      </c>
      <c r="K215" t="inlineStr">
        <is>
          <t>Cash on Delivery</t>
        </is>
      </c>
      <c r="L215" t="n">
        <v>5</v>
      </c>
      <c r="M215" s="11" t="n">
        <v>0</v>
      </c>
    </row>
    <row r="216">
      <c r="A216" t="inlineStr">
        <is>
          <t>ORD-1181</t>
        </is>
      </c>
      <c r="B216" s="10" t="n">
        <v>46180</v>
      </c>
      <c r="C216" t="inlineStr">
        <is>
          <t>CUST-039</t>
        </is>
      </c>
      <c r="D216" t="inlineStr">
        <is>
          <t>Eastern</t>
        </is>
      </c>
      <c r="E216" t="inlineStr">
        <is>
          <t>Personal Care</t>
        </is>
      </c>
      <c r="F216" s="11" t="n">
        <v>164.51</v>
      </c>
      <c r="G216" s="11" t="n">
        <v>80.90000000000001</v>
      </c>
      <c r="H216" s="11" t="n">
        <v>25</v>
      </c>
      <c r="I216" s="11" t="n">
        <v>38.09</v>
      </c>
      <c r="J216" t="inlineStr">
        <is>
          <t>Delivered</t>
        </is>
      </c>
      <c r="K216" t="inlineStr">
        <is>
          <t>Card</t>
        </is>
      </c>
      <c r="L216" t="n">
        <v>3</v>
      </c>
      <c r="M216" s="11" t="n">
        <v>0</v>
      </c>
    </row>
    <row r="217">
      <c r="A217" t="inlineStr">
        <is>
          <t>ORD-1087</t>
        </is>
      </c>
      <c r="B217" s="10" t="n">
        <v>46181</v>
      </c>
      <c r="C217" t="inlineStr">
        <is>
          <t>CUST-033</t>
        </is>
      </c>
      <c r="D217" t="inlineStr">
        <is>
          <t>Northern</t>
        </is>
      </c>
      <c r="E217" t="inlineStr">
        <is>
          <t>Personal Care</t>
        </is>
      </c>
      <c r="F217" s="11" t="n">
        <v>223.26</v>
      </c>
      <c r="G217" s="11" t="n">
        <v>115.79</v>
      </c>
      <c r="H217" s="11" t="n">
        <v>15</v>
      </c>
      <c r="I217" s="11" t="n">
        <v>33.28</v>
      </c>
      <c r="J217" t="inlineStr">
        <is>
          <t>Failed</t>
        </is>
      </c>
      <c r="K217" t="inlineStr">
        <is>
          <t>Cash on Delivery</t>
        </is>
      </c>
      <c r="L217" t="n">
        <v>6</v>
      </c>
      <c r="M217" s="11" t="n">
        <v>21.41</v>
      </c>
    </row>
    <row r="218">
      <c r="A218" t="inlineStr">
        <is>
          <t>ORD-1120</t>
        </is>
      </c>
      <c r="B218" s="10" t="n">
        <v>46181</v>
      </c>
      <c r="C218" t="inlineStr">
        <is>
          <t>CUST-059</t>
        </is>
      </c>
      <c r="D218" t="inlineStr">
        <is>
          <t>Greater Accra</t>
        </is>
      </c>
      <c r="E218" t="inlineStr">
        <is>
          <t>Stationery</t>
        </is>
      </c>
      <c r="F218" s="11" t="n">
        <v>166.76</v>
      </c>
      <c r="G218" s="11" t="n">
        <v>61.01</v>
      </c>
      <c r="H218" s="11" t="n">
        <v>10</v>
      </c>
      <c r="I218" s="11" t="n">
        <v>14.43</v>
      </c>
      <c r="J218" t="inlineStr">
        <is>
          <t>Delivered</t>
        </is>
      </c>
      <c r="K218" t="inlineStr">
        <is>
          <t>Cash on Delivery</t>
        </is>
      </c>
      <c r="L218" t="n">
        <v>2</v>
      </c>
      <c r="M218" s="11" t="n">
        <v>0</v>
      </c>
    </row>
    <row r="219">
      <c r="A219" t="inlineStr">
        <is>
          <t>ORD-1240</t>
        </is>
      </c>
      <c r="B219" s="10" t="n">
        <v>46181</v>
      </c>
      <c r="C219" t="inlineStr">
        <is>
          <t>CUST-038</t>
        </is>
      </c>
      <c r="D219" t="inlineStr">
        <is>
          <t>Northern</t>
        </is>
      </c>
      <c r="E219" t="inlineStr">
        <is>
          <t>Stationery</t>
        </is>
      </c>
      <c r="F219" s="11" t="n">
        <v>132.66</v>
      </c>
      <c r="G219" s="11" t="n">
        <v>48.39</v>
      </c>
      <c r="H219" s="11" t="n">
        <v>15</v>
      </c>
      <c r="I219" s="11" t="n">
        <v>30.8</v>
      </c>
      <c r="J219" t="inlineStr">
        <is>
          <t>Failed</t>
        </is>
      </c>
      <c r="K219" t="inlineStr">
        <is>
          <t>Mobile Money</t>
        </is>
      </c>
      <c r="L219" t="n">
        <v>8</v>
      </c>
      <c r="M219" s="11" t="n">
        <v>13.38</v>
      </c>
    </row>
    <row r="220">
      <c r="A220" t="inlineStr">
        <is>
          <t>ORD-1136</t>
        </is>
      </c>
      <c r="B220" s="10" t="n">
        <v>46182</v>
      </c>
      <c r="C220" t="inlineStr">
        <is>
          <t>CUST-022</t>
        </is>
      </c>
      <c r="D220" t="inlineStr">
        <is>
          <t>Central</t>
        </is>
      </c>
      <c r="E220" t="inlineStr">
        <is>
          <t>Stationery</t>
        </is>
      </c>
      <c r="F220" s="11" t="n">
        <v>22.21</v>
      </c>
      <c r="G220" s="11" t="n">
        <v>9.23</v>
      </c>
      <c r="H220" s="11" t="n">
        <v>15</v>
      </c>
      <c r="I220" s="11" t="n">
        <v>31.7</v>
      </c>
      <c r="J220" t="inlineStr">
        <is>
          <t>Delivered</t>
        </is>
      </c>
      <c r="K220" t="inlineStr">
        <is>
          <t>Cash on Delivery</t>
        </is>
      </c>
      <c r="L220" t="n">
        <v>5</v>
      </c>
      <c r="M220" s="11" t="n">
        <v>0</v>
      </c>
    </row>
    <row r="221">
      <c r="A221" t="inlineStr">
        <is>
          <t>ORD-1061</t>
        </is>
      </c>
      <c r="B221" s="10" t="n">
        <v>46183</v>
      </c>
      <c r="C221" t="inlineStr">
        <is>
          <t>CUST-076</t>
        </is>
      </c>
      <c r="D221" t="inlineStr">
        <is>
          <t>Ashanti</t>
        </is>
      </c>
      <c r="E221" t="inlineStr">
        <is>
          <t>Personal Care</t>
        </is>
      </c>
      <c r="F221" s="11" t="n">
        <v>281.76</v>
      </c>
      <c r="G221" s="11" t="n">
        <v>134.27</v>
      </c>
      <c r="H221" s="11" t="n">
        <v>30</v>
      </c>
      <c r="I221" s="11" t="n">
        <v>37.25</v>
      </c>
      <c r="J221" t="inlineStr">
        <is>
          <t>Delivered</t>
        </is>
      </c>
      <c r="K221" t="inlineStr">
        <is>
          <t>Mobile Money</t>
        </is>
      </c>
      <c r="L221" t="n">
        <v>4</v>
      </c>
      <c r="M221" s="11" t="n">
        <v>0</v>
      </c>
    </row>
    <row r="222">
      <c r="A222" t="inlineStr">
        <is>
          <t>ORD-1079</t>
        </is>
      </c>
      <c r="B222" s="10" t="n">
        <v>46184</v>
      </c>
      <c r="C222" t="inlineStr">
        <is>
          <t>CUST-088</t>
        </is>
      </c>
      <c r="D222" t="inlineStr">
        <is>
          <t>Ashanti</t>
        </is>
      </c>
      <c r="E222" t="inlineStr">
        <is>
          <t>Small Appliances</t>
        </is>
      </c>
      <c r="F222" s="11" t="n">
        <v>1496.52</v>
      </c>
      <c r="G222" s="11" t="n">
        <v>1099.07</v>
      </c>
      <c r="H222" s="11" t="n">
        <v>25</v>
      </c>
      <c r="I222" s="11" t="n">
        <v>39.78</v>
      </c>
      <c r="J222" t="inlineStr">
        <is>
          <t>Delivered</t>
        </is>
      </c>
      <c r="K222" t="inlineStr">
        <is>
          <t>Cash on Delivery</t>
        </is>
      </c>
      <c r="L222" t="n">
        <v>1</v>
      </c>
      <c r="M222" s="11" t="n">
        <v>0</v>
      </c>
    </row>
    <row r="223">
      <c r="A223" t="inlineStr">
        <is>
          <t>ORD-1130</t>
        </is>
      </c>
      <c r="B223" s="10" t="n">
        <v>46184</v>
      </c>
      <c r="C223" t="inlineStr">
        <is>
          <t>CUST-083</t>
        </is>
      </c>
      <c r="D223" t="inlineStr">
        <is>
          <t>Northern</t>
        </is>
      </c>
      <c r="E223" t="inlineStr">
        <is>
          <t>Home &amp; Kitchen</t>
        </is>
      </c>
      <c r="F223" s="11" t="n">
        <v>247.81</v>
      </c>
      <c r="G223" s="11" t="n">
        <v>133.92</v>
      </c>
      <c r="H223" s="11" t="n">
        <v>25</v>
      </c>
      <c r="I223" s="11" t="n">
        <v>39.84</v>
      </c>
      <c r="J223" t="inlineStr">
        <is>
          <t>Delivered</t>
        </is>
      </c>
      <c r="K223" t="inlineStr">
        <is>
          <t>Cash on Delivery</t>
        </is>
      </c>
      <c r="L223" t="n">
        <v>4</v>
      </c>
      <c r="M223" s="11" t="n">
        <v>0</v>
      </c>
    </row>
    <row r="224">
      <c r="A224" t="inlineStr">
        <is>
          <t>ORD-1066</t>
        </is>
      </c>
      <c r="B224" s="10" t="n">
        <v>46185</v>
      </c>
      <c r="C224" t="inlineStr">
        <is>
          <t>CUST-063</t>
        </is>
      </c>
      <c r="D224" t="inlineStr">
        <is>
          <t>Northern</t>
        </is>
      </c>
      <c r="E224" t="inlineStr">
        <is>
          <t>Small Appliances</t>
        </is>
      </c>
      <c r="F224" s="11" t="n">
        <v>784.51</v>
      </c>
      <c r="G224" s="11" t="n">
        <v>528.37</v>
      </c>
      <c r="H224" s="11" t="n">
        <v>20</v>
      </c>
      <c r="I224" s="11" t="n">
        <v>38.7</v>
      </c>
      <c r="J224" t="inlineStr">
        <is>
          <t>Failed</t>
        </is>
      </c>
      <c r="K224" t="inlineStr">
        <is>
          <t>Mobile Money</t>
        </is>
      </c>
      <c r="L224" t="n">
        <v>9</v>
      </c>
      <c r="M224" s="11" t="n">
        <v>12.9</v>
      </c>
    </row>
    <row r="225">
      <c r="A225" t="inlineStr">
        <is>
          <t>ORD-1148</t>
        </is>
      </c>
      <c r="B225" s="10" t="n">
        <v>46185</v>
      </c>
      <c r="C225" t="inlineStr">
        <is>
          <t>CUST-050</t>
        </is>
      </c>
      <c r="D225" t="inlineStr">
        <is>
          <t>Ashanti</t>
        </is>
      </c>
      <c r="E225" t="inlineStr">
        <is>
          <t>Small Appliances</t>
        </is>
      </c>
      <c r="F225" s="11" t="n">
        <v>492.43</v>
      </c>
      <c r="G225" s="11" t="n">
        <v>296.9</v>
      </c>
      <c r="H225" s="11" t="n">
        <v>10</v>
      </c>
      <c r="I225" s="11" t="n">
        <v>18.45</v>
      </c>
      <c r="J225" t="inlineStr">
        <is>
          <t>Delivered</t>
        </is>
      </c>
      <c r="K225" t="inlineStr">
        <is>
          <t>Cash on Delivery</t>
        </is>
      </c>
      <c r="L225" t="n">
        <v>5</v>
      </c>
      <c r="M225" s="11" t="n">
        <v>0</v>
      </c>
    </row>
    <row r="226">
      <c r="A226" t="inlineStr">
        <is>
          <t>ORD-1168</t>
        </is>
      </c>
      <c r="B226" s="10" t="n">
        <v>46185</v>
      </c>
      <c r="C226" t="inlineStr">
        <is>
          <t>CUST-071</t>
        </is>
      </c>
      <c r="D226" t="inlineStr">
        <is>
          <t>Greater Accra</t>
        </is>
      </c>
      <c r="E226" t="inlineStr">
        <is>
          <t>Home &amp; Kitchen</t>
        </is>
      </c>
      <c r="F226" s="11" t="n">
        <v>425.01</v>
      </c>
      <c r="G226" s="11" t="n">
        <v>234.01</v>
      </c>
      <c r="H226" s="11" t="n">
        <v>10</v>
      </c>
      <c r="I226" s="11" t="n">
        <v>17.03</v>
      </c>
      <c r="J226" t="inlineStr">
        <is>
          <t>Delivered</t>
        </is>
      </c>
      <c r="K226" t="inlineStr">
        <is>
          <t>Bank Transfer</t>
        </is>
      </c>
      <c r="L226" t="n">
        <v>2</v>
      </c>
      <c r="M226" s="11" t="n">
        <v>0</v>
      </c>
    </row>
    <row r="227">
      <c r="A227" t="inlineStr">
        <is>
          <t>ORD-1145</t>
        </is>
      </c>
      <c r="B227" s="10" t="n">
        <v>46186</v>
      </c>
      <c r="C227" t="inlineStr">
        <is>
          <t>CUST-080</t>
        </is>
      </c>
      <c r="D227" t="inlineStr">
        <is>
          <t>Greater Accra</t>
        </is>
      </c>
      <c r="E227" t="inlineStr">
        <is>
          <t>Home &amp; Kitchen</t>
        </is>
      </c>
      <c r="F227" s="11" t="n">
        <v>116.51</v>
      </c>
      <c r="G227" s="11" t="n">
        <v>70.25</v>
      </c>
      <c r="H227" s="11" t="n">
        <v>30</v>
      </c>
      <c r="I227" s="11" t="n">
        <v>37.36</v>
      </c>
      <c r="J227" t="inlineStr">
        <is>
          <t>Delivered</t>
        </is>
      </c>
      <c r="K227" t="inlineStr">
        <is>
          <t>Cash on Delivery</t>
        </is>
      </c>
      <c r="L227" t="n">
        <v>3</v>
      </c>
      <c r="M227" s="11" t="n">
        <v>0</v>
      </c>
    </row>
    <row r="228">
      <c r="A228" t="inlineStr">
        <is>
          <t>ORD-1163</t>
        </is>
      </c>
      <c r="B228" s="10" t="n">
        <v>46186</v>
      </c>
      <c r="C228" t="inlineStr">
        <is>
          <t>CUST-023</t>
        </is>
      </c>
      <c r="D228" t="inlineStr">
        <is>
          <t>Ashanti</t>
        </is>
      </c>
      <c r="E228" t="inlineStr">
        <is>
          <t>Stationery</t>
        </is>
      </c>
      <c r="F228" s="11" t="n">
        <v>98.94</v>
      </c>
      <c r="G228" s="11" t="n">
        <v>36.79</v>
      </c>
      <c r="H228" s="11" t="n">
        <v>15</v>
      </c>
      <c r="I228" s="11" t="n">
        <v>27.92</v>
      </c>
      <c r="J228" t="inlineStr">
        <is>
          <t>Delivered</t>
        </is>
      </c>
      <c r="K228" t="inlineStr">
        <is>
          <t>Cash on Delivery</t>
        </is>
      </c>
      <c r="L228" t="n">
        <v>3</v>
      </c>
      <c r="M228" s="11" t="n">
        <v>0</v>
      </c>
    </row>
    <row r="229">
      <c r="A229" t="inlineStr">
        <is>
          <t>ORD-1192</t>
        </is>
      </c>
      <c r="B229" s="10" t="n">
        <v>46186</v>
      </c>
      <c r="C229" t="inlineStr">
        <is>
          <t>CUST-030</t>
        </is>
      </c>
      <c r="D229" t="inlineStr">
        <is>
          <t>Northern</t>
        </is>
      </c>
      <c r="E229" t="inlineStr">
        <is>
          <t>Electronics Accessories</t>
        </is>
      </c>
      <c r="F229" s="11" t="n">
        <v>418.91</v>
      </c>
      <c r="G229" s="11" t="n">
        <v>271.92</v>
      </c>
      <c r="H229" s="11" t="n">
        <v>10</v>
      </c>
      <c r="I229" s="11" t="n">
        <v>28.81</v>
      </c>
      <c r="J229" t="inlineStr">
        <is>
          <t>Delivered</t>
        </is>
      </c>
      <c r="K229" t="inlineStr">
        <is>
          <t>Bank Transfer</t>
        </is>
      </c>
      <c r="L229" t="n">
        <v>3</v>
      </c>
      <c r="M229" s="11" t="n">
        <v>0</v>
      </c>
    </row>
    <row r="230">
      <c r="A230" t="inlineStr">
        <is>
          <t>ORD-1209</t>
        </is>
      </c>
      <c r="B230" s="10" t="n">
        <v>46187</v>
      </c>
      <c r="C230" t="inlineStr">
        <is>
          <t>CUST-083</t>
        </is>
      </c>
      <c r="D230" t="inlineStr">
        <is>
          <t>Northern</t>
        </is>
      </c>
      <c r="E230" t="inlineStr">
        <is>
          <t>Small Appliances</t>
        </is>
      </c>
      <c r="F230" s="11" t="n">
        <v>655.52</v>
      </c>
      <c r="G230" s="11" t="n">
        <v>498.48</v>
      </c>
      <c r="H230" s="11" t="n">
        <v>25</v>
      </c>
      <c r="I230" s="11" t="n">
        <v>45.7</v>
      </c>
      <c r="J230" t="inlineStr">
        <is>
          <t>Failed</t>
        </is>
      </c>
      <c r="K230" t="inlineStr">
        <is>
          <t>Mobile Money</t>
        </is>
      </c>
      <c r="L230" t="n">
        <v>4</v>
      </c>
      <c r="M230" s="11" t="n">
        <v>19.11</v>
      </c>
    </row>
    <row r="231">
      <c r="A231" t="inlineStr">
        <is>
          <t>ORD-1233</t>
        </is>
      </c>
      <c r="B231" s="10" t="n">
        <v>46189</v>
      </c>
      <c r="C231" t="inlineStr">
        <is>
          <t>CUST-005</t>
        </is>
      </c>
      <c r="D231" t="inlineStr">
        <is>
          <t>Central</t>
        </is>
      </c>
      <c r="E231" t="inlineStr">
        <is>
          <t>Electronics Accessories</t>
        </is>
      </c>
      <c r="F231" s="11" t="n">
        <v>391</v>
      </c>
      <c r="G231" s="11" t="n">
        <v>242.22</v>
      </c>
      <c r="H231" s="11" t="n">
        <v>10</v>
      </c>
      <c r="I231" s="11" t="n">
        <v>23.37</v>
      </c>
      <c r="J231" t="inlineStr">
        <is>
          <t>Delivered</t>
        </is>
      </c>
      <c r="K231" t="inlineStr">
        <is>
          <t>Mobile Money</t>
        </is>
      </c>
      <c r="L231" t="n">
        <v>4</v>
      </c>
      <c r="M231" s="11" t="n">
        <v>0</v>
      </c>
    </row>
    <row r="232">
      <c r="A232" t="inlineStr">
        <is>
          <t>ORD-1247</t>
        </is>
      </c>
      <c r="B232" s="10" t="n">
        <v>46189</v>
      </c>
      <c r="C232" t="inlineStr">
        <is>
          <t>CUST-077</t>
        </is>
      </c>
      <c r="D232" t="inlineStr">
        <is>
          <t>Western</t>
        </is>
      </c>
      <c r="E232" t="inlineStr">
        <is>
          <t>Electronics Accessories</t>
        </is>
      </c>
      <c r="F232" s="11" t="n">
        <v>342.95</v>
      </c>
      <c r="G232" s="11" t="n">
        <v>236.81</v>
      </c>
      <c r="H232" s="11" t="n">
        <v>15</v>
      </c>
      <c r="I232" s="11" t="n">
        <v>28.79</v>
      </c>
      <c r="J232" t="inlineStr">
        <is>
          <t>Delivered</t>
        </is>
      </c>
      <c r="K232" t="inlineStr">
        <is>
          <t>Mobile Money</t>
        </is>
      </c>
      <c r="L232" t="n">
        <v>4</v>
      </c>
      <c r="M232" s="11" t="n">
        <v>0</v>
      </c>
    </row>
    <row r="233">
      <c r="A233" t="inlineStr">
        <is>
          <t>ORD-1176</t>
        </is>
      </c>
      <c r="B233" s="10" t="n">
        <v>46190</v>
      </c>
      <c r="C233" t="inlineStr">
        <is>
          <t>CUST-087</t>
        </is>
      </c>
      <c r="D233" t="inlineStr">
        <is>
          <t>Western</t>
        </is>
      </c>
      <c r="E233" t="inlineStr">
        <is>
          <t>Home &amp; Kitchen</t>
        </is>
      </c>
      <c r="F233" s="11" t="n">
        <v>372.01</v>
      </c>
      <c r="G233" s="11" t="n">
        <v>220.41</v>
      </c>
      <c r="H233" s="11" t="n">
        <v>25</v>
      </c>
      <c r="I233" s="11" t="n">
        <v>35.34</v>
      </c>
      <c r="J233" t="inlineStr">
        <is>
          <t>Delivered</t>
        </is>
      </c>
      <c r="K233" t="inlineStr">
        <is>
          <t>Mobile Money</t>
        </is>
      </c>
      <c r="L233" t="n">
        <v>4</v>
      </c>
      <c r="M233" s="11" t="n">
        <v>0</v>
      </c>
    </row>
    <row r="234">
      <c r="A234" t="inlineStr">
        <is>
          <t>ORD-1226</t>
        </is>
      </c>
      <c r="B234" s="10" t="n">
        <v>46190</v>
      </c>
      <c r="C234" t="inlineStr">
        <is>
          <t>CUST-088</t>
        </is>
      </c>
      <c r="D234" t="inlineStr">
        <is>
          <t>Ashanti</t>
        </is>
      </c>
      <c r="E234" t="inlineStr">
        <is>
          <t>Home &amp; Kitchen</t>
        </is>
      </c>
      <c r="F234" s="11" t="n">
        <v>508.02</v>
      </c>
      <c r="G234" s="11" t="n">
        <v>268.21</v>
      </c>
      <c r="H234" s="11" t="n">
        <v>25</v>
      </c>
      <c r="I234" s="11" t="n">
        <v>34.61</v>
      </c>
      <c r="J234" t="inlineStr">
        <is>
          <t>Delivered</t>
        </is>
      </c>
      <c r="K234" t="inlineStr">
        <is>
          <t>Mobile Money</t>
        </is>
      </c>
      <c r="L234" t="n">
        <v>3</v>
      </c>
      <c r="M234" s="11" t="n">
        <v>0</v>
      </c>
    </row>
    <row r="235">
      <c r="A235" t="inlineStr">
        <is>
          <t>ORD-1012</t>
        </is>
      </c>
      <c r="B235" s="10" t="n">
        <v>46192</v>
      </c>
      <c r="C235" t="inlineStr">
        <is>
          <t>CUST-014</t>
        </is>
      </c>
      <c r="D235" t="inlineStr">
        <is>
          <t>Greater Accra</t>
        </is>
      </c>
      <c r="E235" t="inlineStr">
        <is>
          <t>Small Appliances</t>
        </is>
      </c>
      <c r="F235" s="11" t="n">
        <v>331.29</v>
      </c>
      <c r="G235" s="11" t="n">
        <v>205.66</v>
      </c>
      <c r="H235" s="11" t="n">
        <v>10</v>
      </c>
      <c r="I235" s="11" t="n">
        <v>19.42</v>
      </c>
      <c r="J235" t="inlineStr">
        <is>
          <t>Delivered</t>
        </is>
      </c>
      <c r="K235" t="inlineStr">
        <is>
          <t>Mobile Money</t>
        </is>
      </c>
      <c r="L235" t="n">
        <v>1</v>
      </c>
      <c r="M235" s="11" t="n">
        <v>0</v>
      </c>
    </row>
    <row r="236">
      <c r="A236" t="inlineStr">
        <is>
          <t>ORD-1186</t>
        </is>
      </c>
      <c r="B236" s="10" t="n">
        <v>46192</v>
      </c>
      <c r="C236" t="inlineStr">
        <is>
          <t>CUST-062</t>
        </is>
      </c>
      <c r="D236" t="inlineStr">
        <is>
          <t>Northern</t>
        </is>
      </c>
      <c r="E236" t="inlineStr">
        <is>
          <t>Personal Care</t>
        </is>
      </c>
      <c r="F236" s="11" t="n">
        <v>111.28</v>
      </c>
      <c r="G236" s="11" t="n">
        <v>47.98</v>
      </c>
      <c r="H236" s="11" t="n">
        <v>30</v>
      </c>
      <c r="I236" s="11" t="n">
        <v>45.42</v>
      </c>
      <c r="J236" t="inlineStr">
        <is>
          <t>Delivered</t>
        </is>
      </c>
      <c r="K236" t="inlineStr">
        <is>
          <t>Cash on Delivery</t>
        </is>
      </c>
      <c r="L236" t="n">
        <v>3</v>
      </c>
      <c r="M236" s="11" t="n">
        <v>0</v>
      </c>
    </row>
    <row r="237">
      <c r="A237" t="inlineStr">
        <is>
          <t>ORD-1199</t>
        </is>
      </c>
      <c r="B237" s="10" t="n">
        <v>46194</v>
      </c>
      <c r="C237" t="inlineStr">
        <is>
          <t>CUST-013</t>
        </is>
      </c>
      <c r="D237" t="inlineStr">
        <is>
          <t>Greater Accra</t>
        </is>
      </c>
      <c r="E237" t="inlineStr">
        <is>
          <t>Electronics Accessories</t>
        </is>
      </c>
      <c r="F237" s="11" t="n">
        <v>195.3</v>
      </c>
      <c r="G237" s="11" t="n">
        <v>112.93</v>
      </c>
      <c r="H237" s="11" t="n">
        <v>15</v>
      </c>
      <c r="I237" s="11" t="n">
        <v>17.07</v>
      </c>
      <c r="J237" t="inlineStr">
        <is>
          <t>Delivered</t>
        </is>
      </c>
      <c r="K237" t="inlineStr">
        <is>
          <t>Mobile Money</t>
        </is>
      </c>
      <c r="L237" t="n">
        <v>1</v>
      </c>
      <c r="M237" s="11" t="n">
        <v>0</v>
      </c>
    </row>
    <row r="238">
      <c r="A238" t="inlineStr">
        <is>
          <t>ORD-1228</t>
        </is>
      </c>
      <c r="B238" s="10" t="n">
        <v>46194</v>
      </c>
      <c r="C238" t="inlineStr">
        <is>
          <t>CUST-007</t>
        </is>
      </c>
      <c r="D238" t="inlineStr">
        <is>
          <t>Eastern</t>
        </is>
      </c>
      <c r="E238" t="inlineStr">
        <is>
          <t>Stationery</t>
        </is>
      </c>
      <c r="F238" s="11" t="n">
        <v>83.04000000000001</v>
      </c>
      <c r="G238" s="11" t="n">
        <v>41.66</v>
      </c>
      <c r="H238" s="11" t="n">
        <v>15</v>
      </c>
      <c r="I238" s="11" t="n">
        <v>21.68</v>
      </c>
      <c r="J238" t="inlineStr">
        <is>
          <t>Delivered</t>
        </is>
      </c>
      <c r="K238" t="inlineStr">
        <is>
          <t>Mobile Money</t>
        </is>
      </c>
      <c r="L238" t="n">
        <v>3</v>
      </c>
      <c r="M238" s="11" t="n">
        <v>0</v>
      </c>
    </row>
    <row r="239">
      <c r="A239" t="inlineStr">
        <is>
          <t>ORD-1028</t>
        </is>
      </c>
      <c r="B239" s="10" t="n">
        <v>46195</v>
      </c>
      <c r="C239" t="inlineStr">
        <is>
          <t>CUST-040</t>
        </is>
      </c>
      <c r="D239" t="inlineStr">
        <is>
          <t>Northern</t>
        </is>
      </c>
      <c r="E239" t="inlineStr">
        <is>
          <t>Electronics Accessories</t>
        </is>
      </c>
      <c r="F239" s="11" t="n">
        <v>243.29</v>
      </c>
      <c r="G239" s="11" t="n">
        <v>127.58</v>
      </c>
      <c r="H239" s="11" t="n">
        <v>15</v>
      </c>
      <c r="I239" s="11" t="n">
        <v>36.84</v>
      </c>
      <c r="J239" t="inlineStr">
        <is>
          <t>Delivered</t>
        </is>
      </c>
      <c r="K239" t="inlineStr">
        <is>
          <t>Cash on Delivery</t>
        </is>
      </c>
      <c r="L239" t="n">
        <v>4</v>
      </c>
      <c r="M239" s="11" t="n">
        <v>0</v>
      </c>
    </row>
    <row r="240">
      <c r="A240" t="inlineStr">
        <is>
          <t>ORD-1220</t>
        </is>
      </c>
      <c r="B240" s="10" t="n">
        <v>46195</v>
      </c>
      <c r="C240" t="inlineStr">
        <is>
          <t>CUST-078</t>
        </is>
      </c>
      <c r="D240" t="inlineStr">
        <is>
          <t>Ashanti</t>
        </is>
      </c>
      <c r="E240" t="inlineStr">
        <is>
          <t>Personal Care</t>
        </is>
      </c>
      <c r="F240" s="11" t="n">
        <v>265.25</v>
      </c>
      <c r="G240" s="11" t="n">
        <v>115.08</v>
      </c>
      <c r="H240" s="11" t="n">
        <v>30</v>
      </c>
      <c r="I240" s="11" t="n">
        <v>42.24</v>
      </c>
      <c r="J240" t="inlineStr">
        <is>
          <t>Delivered</t>
        </is>
      </c>
      <c r="K240" t="inlineStr">
        <is>
          <t>Mobile Money</t>
        </is>
      </c>
      <c r="L240" t="n">
        <v>1</v>
      </c>
      <c r="M240" s="11" t="n">
        <v>0</v>
      </c>
    </row>
    <row r="241">
      <c r="A241" t="inlineStr">
        <is>
          <t>ORD-1021</t>
        </is>
      </c>
      <c r="B241" s="10" t="n">
        <v>46196</v>
      </c>
      <c r="C241" t="inlineStr">
        <is>
          <t>CUST-069</t>
        </is>
      </c>
      <c r="D241" t="inlineStr">
        <is>
          <t>Ashanti</t>
        </is>
      </c>
      <c r="E241" t="inlineStr">
        <is>
          <t>Home &amp; Kitchen</t>
        </is>
      </c>
      <c r="F241" s="11" t="n">
        <v>66.56</v>
      </c>
      <c r="G241" s="11" t="n">
        <v>39.79</v>
      </c>
      <c r="H241" s="11" t="n">
        <v>20</v>
      </c>
      <c r="I241" s="11" t="n">
        <v>26.79</v>
      </c>
      <c r="J241" t="inlineStr">
        <is>
          <t>Returned</t>
        </is>
      </c>
      <c r="K241" t="inlineStr">
        <is>
          <t>Mobile Money</t>
        </is>
      </c>
      <c r="L241" t="n">
        <v>1</v>
      </c>
      <c r="M241" s="11" t="n">
        <v>18.14</v>
      </c>
    </row>
    <row r="242">
      <c r="A242" t="inlineStr">
        <is>
          <t>ORD-1157</t>
        </is>
      </c>
      <c r="B242" s="10" t="n">
        <v>46196</v>
      </c>
      <c r="C242" t="inlineStr">
        <is>
          <t>CUST-021</t>
        </is>
      </c>
      <c r="D242" t="inlineStr">
        <is>
          <t>Eastern</t>
        </is>
      </c>
      <c r="E242" t="inlineStr">
        <is>
          <t>Small Appliances</t>
        </is>
      </c>
      <c r="F242" s="11" t="n">
        <v>342.75</v>
      </c>
      <c r="G242" s="11" t="n">
        <v>243.13</v>
      </c>
      <c r="H242" s="11" t="n">
        <v>25</v>
      </c>
      <c r="I242" s="11" t="n">
        <v>31.35</v>
      </c>
      <c r="J242" t="inlineStr">
        <is>
          <t>Delivered</t>
        </is>
      </c>
      <c r="K242" t="inlineStr">
        <is>
          <t>Cash on Delivery</t>
        </is>
      </c>
      <c r="L242" t="n">
        <v>1</v>
      </c>
      <c r="M242" s="11" t="n">
        <v>0</v>
      </c>
    </row>
    <row r="243">
      <c r="A243" t="inlineStr">
        <is>
          <t>ORD-1082</t>
        </is>
      </c>
      <c r="B243" s="10" t="n">
        <v>46197</v>
      </c>
      <c r="C243" t="inlineStr">
        <is>
          <t>CUST-031</t>
        </is>
      </c>
      <c r="D243" t="inlineStr">
        <is>
          <t>Eastern</t>
        </is>
      </c>
      <c r="E243" t="inlineStr">
        <is>
          <t>Personal Care</t>
        </is>
      </c>
      <c r="F243" s="11" t="n">
        <v>185.37</v>
      </c>
      <c r="G243" s="11" t="n">
        <v>81.90000000000001</v>
      </c>
      <c r="H243" s="11" t="n">
        <v>20</v>
      </c>
      <c r="I243" s="11" t="n">
        <v>30.6</v>
      </c>
      <c r="J243" t="inlineStr">
        <is>
          <t>Delivered</t>
        </is>
      </c>
      <c r="K243" t="inlineStr">
        <is>
          <t>Card</t>
        </is>
      </c>
      <c r="L243" t="n">
        <v>4</v>
      </c>
      <c r="M243" s="11" t="n">
        <v>0</v>
      </c>
    </row>
    <row r="244">
      <c r="A244" t="inlineStr">
        <is>
          <t>ORD-1166</t>
        </is>
      </c>
      <c r="B244" s="10" t="n">
        <v>46197</v>
      </c>
      <c r="C244" t="inlineStr">
        <is>
          <t>CUST-067</t>
        </is>
      </c>
      <c r="D244" t="inlineStr">
        <is>
          <t>Greater Accra</t>
        </is>
      </c>
      <c r="E244" t="inlineStr">
        <is>
          <t>Home &amp; Kitchen</t>
        </is>
      </c>
      <c r="F244" s="11" t="n">
        <v>576.78</v>
      </c>
      <c r="G244" s="11" t="n">
        <v>334.79</v>
      </c>
      <c r="H244" s="11" t="n">
        <v>30</v>
      </c>
      <c r="I244" s="11" t="n">
        <v>33.82</v>
      </c>
      <c r="J244" t="inlineStr">
        <is>
          <t>Returned</t>
        </is>
      </c>
      <c r="K244" t="inlineStr">
        <is>
          <t>Mobile Money</t>
        </is>
      </c>
      <c r="L244" t="n">
        <v>7</v>
      </c>
      <c r="M244" s="11" t="n">
        <v>8.94</v>
      </c>
    </row>
    <row r="245">
      <c r="A245" t="inlineStr">
        <is>
          <t>ORD-1187</t>
        </is>
      </c>
      <c r="B245" s="10" t="n">
        <v>46197</v>
      </c>
      <c r="C245" t="inlineStr">
        <is>
          <t>CUST-083</t>
        </is>
      </c>
      <c r="D245" t="inlineStr">
        <is>
          <t>Northern</t>
        </is>
      </c>
      <c r="E245" t="inlineStr">
        <is>
          <t>Stationery</t>
        </is>
      </c>
      <c r="F245" s="11" t="n">
        <v>58.62</v>
      </c>
      <c r="G245" s="11" t="n">
        <v>25.63</v>
      </c>
      <c r="H245" s="11" t="n">
        <v>15</v>
      </c>
      <c r="I245" s="11" t="n">
        <v>29.79</v>
      </c>
      <c r="J245" t="inlineStr">
        <is>
          <t>Delivered</t>
        </is>
      </c>
      <c r="K245" t="inlineStr">
        <is>
          <t>Bank Transfer</t>
        </is>
      </c>
      <c r="L245" t="n">
        <v>5</v>
      </c>
      <c r="M245" s="11" t="n">
        <v>0</v>
      </c>
    </row>
    <row r="246">
      <c r="A246" t="inlineStr">
        <is>
          <t>ORD-1133</t>
        </is>
      </c>
      <c r="B246" s="10" t="n">
        <v>46198</v>
      </c>
      <c r="C246" t="inlineStr">
        <is>
          <t>CUST-068</t>
        </is>
      </c>
      <c r="D246" t="inlineStr">
        <is>
          <t>Greater Accra</t>
        </is>
      </c>
      <c r="E246" t="inlineStr">
        <is>
          <t>Electronics Accessories</t>
        </is>
      </c>
      <c r="F246" s="11" t="n">
        <v>629.77</v>
      </c>
      <c r="G246" s="11" t="n">
        <v>385.12</v>
      </c>
      <c r="H246" s="11" t="n">
        <v>10</v>
      </c>
      <c r="I246" s="11" t="n">
        <v>15.63</v>
      </c>
      <c r="J246" t="inlineStr">
        <is>
          <t>Delivered</t>
        </is>
      </c>
      <c r="K246" t="inlineStr">
        <is>
          <t>Mobile Money</t>
        </is>
      </c>
      <c r="L246" t="n">
        <v>1</v>
      </c>
      <c r="M246" s="11" t="n">
        <v>0</v>
      </c>
    </row>
    <row r="247">
      <c r="A247" t="inlineStr">
        <is>
          <t>ORD-1084</t>
        </is>
      </c>
      <c r="B247" s="10" t="n">
        <v>46199</v>
      </c>
      <c r="C247" t="inlineStr">
        <is>
          <t>CUST-033</t>
        </is>
      </c>
      <c r="D247" t="inlineStr">
        <is>
          <t>Northern</t>
        </is>
      </c>
      <c r="E247" t="inlineStr">
        <is>
          <t>Home &amp; Kitchen</t>
        </is>
      </c>
      <c r="F247" s="11" t="n">
        <v>231.27</v>
      </c>
      <c r="G247" s="11" t="n">
        <v>143.36</v>
      </c>
      <c r="H247" s="11" t="n">
        <v>25</v>
      </c>
      <c r="I247" s="11" t="n">
        <v>38.07</v>
      </c>
      <c r="J247" t="inlineStr">
        <is>
          <t>Delivered</t>
        </is>
      </c>
      <c r="K247" t="inlineStr">
        <is>
          <t>Mobile Money</t>
        </is>
      </c>
      <c r="L247" t="n">
        <v>5</v>
      </c>
      <c r="M247" s="11" t="n">
        <v>0</v>
      </c>
    </row>
    <row r="248">
      <c r="A248" t="inlineStr">
        <is>
          <t>ORD-1185</t>
        </is>
      </c>
      <c r="B248" s="10" t="n">
        <v>46199</v>
      </c>
      <c r="C248" t="inlineStr">
        <is>
          <t>CUST-027</t>
        </is>
      </c>
      <c r="D248" t="inlineStr">
        <is>
          <t>Greater Accra</t>
        </is>
      </c>
      <c r="E248" t="inlineStr">
        <is>
          <t>Home &amp; Kitchen</t>
        </is>
      </c>
      <c r="F248" s="11" t="n">
        <v>514.98</v>
      </c>
      <c r="G248" s="11" t="n">
        <v>311.92</v>
      </c>
      <c r="H248" s="11" t="n">
        <v>10</v>
      </c>
      <c r="I248" s="11" t="n">
        <v>19.06</v>
      </c>
      <c r="J248" t="inlineStr">
        <is>
          <t>Delivered</t>
        </is>
      </c>
      <c r="K248" t="inlineStr">
        <is>
          <t>Cash on Delivery</t>
        </is>
      </c>
      <c r="L248" t="n">
        <v>2</v>
      </c>
      <c r="M248" s="11" t="n">
        <v>0</v>
      </c>
    </row>
    <row r="249">
      <c r="A249" t="inlineStr">
        <is>
          <t>ORD-1025</t>
        </is>
      </c>
      <c r="B249" s="10" t="n">
        <v>46201</v>
      </c>
      <c r="C249" t="inlineStr">
        <is>
          <t>CUST-038</t>
        </is>
      </c>
      <c r="D249" t="inlineStr">
        <is>
          <t>Northern</t>
        </is>
      </c>
      <c r="E249" t="inlineStr">
        <is>
          <t>Personal Care</t>
        </is>
      </c>
      <c r="F249" s="11" t="n">
        <v>77.76000000000001</v>
      </c>
      <c r="G249" s="11" t="n">
        <v>40.41</v>
      </c>
      <c r="H249" s="11" t="n">
        <v>25</v>
      </c>
      <c r="I249" s="11" t="n">
        <v>43.77</v>
      </c>
      <c r="J249" t="inlineStr">
        <is>
          <t>Failed</t>
        </is>
      </c>
      <c r="K249" t="inlineStr">
        <is>
          <t>Cash on Delivery</t>
        </is>
      </c>
      <c r="L249" t="n">
        <v>6</v>
      </c>
      <c r="M249" s="11" t="n">
        <v>14.9</v>
      </c>
    </row>
    <row r="250">
      <c r="A250" t="inlineStr">
        <is>
          <t>ORD-1095</t>
        </is>
      </c>
      <c r="B250" s="10" t="n">
        <v>46201</v>
      </c>
      <c r="C250" t="inlineStr">
        <is>
          <t>CUST-070</t>
        </is>
      </c>
      <c r="D250" t="inlineStr">
        <is>
          <t>Greater Accra</t>
        </is>
      </c>
      <c r="E250" t="inlineStr">
        <is>
          <t>Home &amp; Kitchen</t>
        </is>
      </c>
      <c r="F250" s="11" t="n">
        <v>495.36</v>
      </c>
      <c r="G250" s="11" t="n">
        <v>231.74</v>
      </c>
      <c r="H250" s="11" t="n">
        <v>25</v>
      </c>
      <c r="I250" s="11" t="n">
        <v>33.55</v>
      </c>
      <c r="J250" t="inlineStr">
        <is>
          <t>Delivered</t>
        </is>
      </c>
      <c r="K250" t="inlineStr">
        <is>
          <t>Cash on Delivery</t>
        </is>
      </c>
      <c r="L250" t="n">
        <v>2</v>
      </c>
      <c r="M250" s="11" t="n">
        <v>0</v>
      </c>
    </row>
    <row r="251">
      <c r="A251" t="inlineStr">
        <is>
          <t>ORD-1222</t>
        </is>
      </c>
      <c r="B251" s="10" t="n">
        <v>46201</v>
      </c>
      <c r="C251" t="inlineStr">
        <is>
          <t>CUST-078</t>
        </is>
      </c>
      <c r="D251" t="inlineStr">
        <is>
          <t>Ashanti</t>
        </is>
      </c>
      <c r="E251" t="inlineStr">
        <is>
          <t>Stationery</t>
        </is>
      </c>
      <c r="F251" s="11" t="n">
        <v>80.44</v>
      </c>
      <c r="G251" s="11" t="n">
        <v>31.62</v>
      </c>
      <c r="H251" s="11" t="n">
        <v>20</v>
      </c>
      <c r="I251" s="11" t="n">
        <v>32.76</v>
      </c>
      <c r="J251" t="inlineStr">
        <is>
          <t>Delivered</t>
        </is>
      </c>
      <c r="K251" t="inlineStr">
        <is>
          <t>Cash on Delivery</t>
        </is>
      </c>
      <c r="L251" t="n">
        <v>3</v>
      </c>
      <c r="M251" s="11" t="n">
        <v>0</v>
      </c>
    </row>
  </sheetData>
  <autoFilter ref="A1:M2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F6E8C"/>
    <outlinePr summaryBelow="1" summaryRight="1"/>
    <pageSetUpPr fitToPage="1"/>
  </sheetPr>
  <dimension ref="A1:S2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25" customWidth="1" min="5" max="5"/>
    <col width="17" customWidth="1" min="6" max="6"/>
    <col width="18" customWidth="1" min="7" max="7"/>
    <col width="18" customWidth="1" min="8" max="8"/>
    <col width="19" customWidth="1" min="9" max="9"/>
    <col width="17" customWidth="1" min="10" max="10"/>
    <col width="18" customWidth="1" min="11" max="11"/>
    <col width="15" customWidth="1" min="12" max="12"/>
    <col width="27" customWidth="1" min="13" max="13"/>
    <col width="22" customWidth="1" min="14" max="14"/>
    <col width="14" customWidth="1" min="15" max="15"/>
    <col width="21" customWidth="1" min="16" max="16"/>
    <col width="20" customWidth="1" min="17" max="17"/>
    <col width="21" customWidth="1" min="18" max="18"/>
    <col width="28" customWidth="1" min="19" max="19"/>
  </cols>
  <sheetData>
    <row r="1" ht="30" customHeight="1">
      <c r="A1" s="4" t="inlineStr">
        <is>
          <t>Order_ID</t>
        </is>
      </c>
      <c r="B1" s="4" t="inlineStr">
        <is>
          <t>Order_Date</t>
        </is>
      </c>
      <c r="C1" s="4" t="inlineStr">
        <is>
          <t>Customer_ID</t>
        </is>
      </c>
      <c r="D1" s="4" t="inlineStr">
        <is>
          <t>Region</t>
        </is>
      </c>
      <c r="E1" s="4" t="inlineStr">
        <is>
          <t>Product_Category</t>
        </is>
      </c>
      <c r="F1" s="4" t="inlineStr">
        <is>
          <t>Order_Value_GHS</t>
        </is>
      </c>
      <c r="G1" s="4" t="inlineStr">
        <is>
          <t>Product_Cost_GHS</t>
        </is>
      </c>
      <c r="H1" s="4" t="inlineStr">
        <is>
          <t>Delivery_Fee_GHS</t>
        </is>
      </c>
      <c r="I1" s="4" t="inlineStr">
        <is>
          <t>Delivery_Cost_GHS</t>
        </is>
      </c>
      <c r="J1" s="4" t="inlineStr">
        <is>
          <t>Delivery_Status</t>
        </is>
      </c>
      <c r="K1" s="4" t="inlineStr">
        <is>
          <t>Payment_Method</t>
        </is>
      </c>
      <c r="L1" s="4" t="inlineStr">
        <is>
          <t>Delivery_Days</t>
        </is>
      </c>
      <c r="M1" s="4" t="inlineStr">
        <is>
          <t>Failure_Handling_Cost_GHS</t>
        </is>
      </c>
      <c r="N1" s="4" t="inlineStr">
        <is>
          <t>Repeat_Customer_Flag</t>
        </is>
      </c>
      <c r="O1" s="4" t="inlineStr">
        <is>
          <t>Month</t>
        </is>
      </c>
      <c r="P1" s="4" t="inlineStr">
        <is>
          <t>Delivered_Sales_GHS</t>
        </is>
      </c>
      <c r="Q1" s="4" t="inlineStr">
        <is>
          <t>Product_Profit_GHS</t>
        </is>
      </c>
      <c r="R1" s="4" t="inlineStr">
        <is>
          <t>Delivery_Margin_GHS</t>
        </is>
      </c>
      <c r="S1" s="4" t="inlineStr">
        <is>
          <t>Estimated_Contribution_GHS</t>
        </is>
      </c>
    </row>
    <row r="2">
      <c r="A2" t="inlineStr">
        <is>
          <t>ORD-1026</t>
        </is>
      </c>
      <c r="B2" s="10" t="n">
        <v>46023</v>
      </c>
      <c r="C2" t="inlineStr">
        <is>
          <t>CUST-039</t>
        </is>
      </c>
      <c r="D2" t="inlineStr">
        <is>
          <t>Eastern</t>
        </is>
      </c>
      <c r="E2" t="inlineStr">
        <is>
          <t>Home &amp; Kitchen</t>
        </is>
      </c>
      <c r="F2" s="11" t="n">
        <v>307.93</v>
      </c>
      <c r="G2" s="11" t="n">
        <v>167.64</v>
      </c>
      <c r="H2" s="11" t="n">
        <v>20</v>
      </c>
      <c r="I2" s="11" t="n">
        <v>30.65</v>
      </c>
      <c r="J2" t="inlineStr">
        <is>
          <t>Delivered</t>
        </is>
      </c>
      <c r="K2" t="inlineStr">
        <is>
          <t>Mobile Money</t>
        </is>
      </c>
      <c r="L2" t="n">
        <v>1</v>
      </c>
      <c r="M2" s="11" t="n">
        <v>0</v>
      </c>
      <c r="N2" t="inlineStr">
        <is>
          <t>Repeat</t>
        </is>
      </c>
      <c r="O2" t="inlineStr">
        <is>
          <t>2026-01</t>
        </is>
      </c>
      <c r="P2" s="11" t="n">
        <v>307.93</v>
      </c>
      <c r="Q2" s="11" t="n">
        <v>140.29</v>
      </c>
      <c r="R2" s="11" t="n">
        <v>-10.65</v>
      </c>
      <c r="S2" s="11" t="n">
        <v>129.64</v>
      </c>
    </row>
    <row r="3">
      <c r="A3" t="inlineStr">
        <is>
          <t>ORD-1068</t>
        </is>
      </c>
      <c r="B3" s="10" t="n">
        <v>46023</v>
      </c>
      <c r="C3" t="inlineStr">
        <is>
          <t>CUST-085</t>
        </is>
      </c>
      <c r="D3" t="inlineStr">
        <is>
          <t>Ashanti</t>
        </is>
      </c>
      <c r="E3" t="inlineStr">
        <is>
          <t>Small Appliances</t>
        </is>
      </c>
      <c r="F3" s="11" t="n">
        <v>773.67</v>
      </c>
      <c r="G3" s="11" t="n">
        <v>471.75</v>
      </c>
      <c r="H3" s="11" t="n">
        <v>30</v>
      </c>
      <c r="I3" s="11" t="n">
        <v>38.62</v>
      </c>
      <c r="J3" t="inlineStr">
        <is>
          <t>Delivered</t>
        </is>
      </c>
      <c r="K3" t="inlineStr">
        <is>
          <t>Cash on Delivery</t>
        </is>
      </c>
      <c r="L3" t="n">
        <v>3</v>
      </c>
      <c r="M3" s="11" t="n">
        <v>0</v>
      </c>
      <c r="N3" t="inlineStr">
        <is>
          <t>Repeat</t>
        </is>
      </c>
      <c r="O3" t="inlineStr">
        <is>
          <t>2026-01</t>
        </is>
      </c>
      <c r="P3" s="11" t="n">
        <v>773.67</v>
      </c>
      <c r="Q3" s="11" t="n">
        <v>301.92</v>
      </c>
      <c r="R3" s="11" t="n">
        <v>-8.619999999999999</v>
      </c>
      <c r="S3" s="11" t="n">
        <v>293.3</v>
      </c>
    </row>
    <row r="4">
      <c r="A4" t="inlineStr">
        <is>
          <t>ORD-1073</t>
        </is>
      </c>
      <c r="B4" s="10" t="n">
        <v>46023</v>
      </c>
      <c r="C4" t="inlineStr">
        <is>
          <t>CUST-037</t>
        </is>
      </c>
      <c r="D4" t="inlineStr">
        <is>
          <t>Eastern</t>
        </is>
      </c>
      <c r="E4" t="inlineStr">
        <is>
          <t>Stationery</t>
        </is>
      </c>
      <c r="F4" s="11" t="n">
        <v>153.18</v>
      </c>
      <c r="G4" s="11" t="n">
        <v>69.59999999999999</v>
      </c>
      <c r="H4" s="11" t="n">
        <v>25</v>
      </c>
      <c r="I4" s="11" t="n">
        <v>39.65</v>
      </c>
      <c r="J4" t="inlineStr">
        <is>
          <t>Delivered</t>
        </is>
      </c>
      <c r="K4" t="inlineStr">
        <is>
          <t>Cash on Delivery</t>
        </is>
      </c>
      <c r="L4" t="n">
        <v>2</v>
      </c>
      <c r="M4" s="11" t="n">
        <v>0</v>
      </c>
      <c r="N4" t="inlineStr">
        <is>
          <t>Repeat</t>
        </is>
      </c>
      <c r="O4" t="inlineStr">
        <is>
          <t>2026-01</t>
        </is>
      </c>
      <c r="P4" s="11" t="n">
        <v>153.18</v>
      </c>
      <c r="Q4" s="11" t="n">
        <v>83.58000000000001</v>
      </c>
      <c r="R4" s="11" t="n">
        <v>-14.65</v>
      </c>
      <c r="S4" s="11" t="n">
        <v>68.93000000000001</v>
      </c>
    </row>
    <row r="5">
      <c r="A5" t="inlineStr">
        <is>
          <t>ORD-1030</t>
        </is>
      </c>
      <c r="B5" s="10" t="n">
        <v>46024</v>
      </c>
      <c r="C5" t="inlineStr">
        <is>
          <t>CUST-014</t>
        </is>
      </c>
      <c r="D5" t="inlineStr">
        <is>
          <t>Greater Accra</t>
        </is>
      </c>
      <c r="E5" t="inlineStr">
        <is>
          <t>Stationery</t>
        </is>
      </c>
      <c r="F5" s="11" t="n">
        <v>51.11</v>
      </c>
      <c r="G5" s="11" t="n">
        <v>25.29</v>
      </c>
      <c r="H5" s="11" t="n">
        <v>30</v>
      </c>
      <c r="I5" s="11" t="n">
        <v>36.65</v>
      </c>
      <c r="J5" t="inlineStr">
        <is>
          <t>Delivered</t>
        </is>
      </c>
      <c r="K5" t="inlineStr">
        <is>
          <t>Card</t>
        </is>
      </c>
      <c r="L5" t="n">
        <v>1</v>
      </c>
      <c r="M5" s="11" t="n">
        <v>0</v>
      </c>
      <c r="N5" t="inlineStr">
        <is>
          <t>Repeat</t>
        </is>
      </c>
      <c r="O5" t="inlineStr">
        <is>
          <t>2026-01</t>
        </is>
      </c>
      <c r="P5" s="11" t="n">
        <v>51.11</v>
      </c>
      <c r="Q5" s="11" t="n">
        <v>25.82</v>
      </c>
      <c r="R5" s="11" t="n">
        <v>-6.65</v>
      </c>
      <c r="S5" s="11" t="n">
        <v>19.17</v>
      </c>
    </row>
    <row r="6">
      <c r="A6" t="inlineStr">
        <is>
          <t>ORD-1246</t>
        </is>
      </c>
      <c r="B6" s="10" t="n">
        <v>46024</v>
      </c>
      <c r="C6" t="inlineStr">
        <is>
          <t>CUST-051</t>
        </is>
      </c>
      <c r="D6" t="inlineStr">
        <is>
          <t>Ashanti</t>
        </is>
      </c>
      <c r="E6" t="inlineStr">
        <is>
          <t>Home &amp; Kitchen</t>
        </is>
      </c>
      <c r="F6" s="11" t="n">
        <v>422.12</v>
      </c>
      <c r="G6" s="11" t="n">
        <v>246.83</v>
      </c>
      <c r="H6" s="11" t="n">
        <v>20</v>
      </c>
      <c r="I6" s="11" t="n">
        <v>29.4</v>
      </c>
      <c r="J6" t="inlineStr">
        <is>
          <t>Delivered</t>
        </is>
      </c>
      <c r="K6" t="inlineStr">
        <is>
          <t>Card</t>
        </is>
      </c>
      <c r="L6" t="n">
        <v>4</v>
      </c>
      <c r="M6" s="11" t="n">
        <v>0</v>
      </c>
      <c r="N6" t="inlineStr">
        <is>
          <t>Repeat</t>
        </is>
      </c>
      <c r="O6" t="inlineStr">
        <is>
          <t>2026-01</t>
        </is>
      </c>
      <c r="P6" s="11" t="n">
        <v>422.12</v>
      </c>
      <c r="Q6" s="11" t="n">
        <v>175.29</v>
      </c>
      <c r="R6" s="11" t="n">
        <v>-9.4</v>
      </c>
      <c r="S6" s="11" t="n">
        <v>165.89</v>
      </c>
    </row>
    <row r="7">
      <c r="A7" t="inlineStr">
        <is>
          <t>ORD-1015</t>
        </is>
      </c>
      <c r="B7" s="10" t="n">
        <v>46025</v>
      </c>
      <c r="C7" t="inlineStr">
        <is>
          <t>CUST-015</t>
        </is>
      </c>
      <c r="D7" t="inlineStr">
        <is>
          <t>Northern</t>
        </is>
      </c>
      <c r="E7" t="inlineStr">
        <is>
          <t>Electronics Accessories</t>
        </is>
      </c>
      <c r="F7" s="11" t="n">
        <v>804.15</v>
      </c>
      <c r="G7" s="11" t="n">
        <v>549</v>
      </c>
      <c r="H7" s="11" t="n">
        <v>30</v>
      </c>
      <c r="I7" s="11" t="n">
        <v>42.36</v>
      </c>
      <c r="J7" t="inlineStr">
        <is>
          <t>Delivered</t>
        </is>
      </c>
      <c r="K7" t="inlineStr">
        <is>
          <t>Cash on Delivery</t>
        </is>
      </c>
      <c r="L7" t="n">
        <v>4</v>
      </c>
      <c r="M7" s="11" t="n">
        <v>0</v>
      </c>
      <c r="N7" t="inlineStr">
        <is>
          <t>Repeat</t>
        </is>
      </c>
      <c r="O7" t="inlineStr">
        <is>
          <t>2026-01</t>
        </is>
      </c>
      <c r="P7" s="11" t="n">
        <v>804.15</v>
      </c>
      <c r="Q7" s="11" t="n">
        <v>255.15</v>
      </c>
      <c r="R7" s="11" t="n">
        <v>-12.36</v>
      </c>
      <c r="S7" s="11" t="n">
        <v>242.79</v>
      </c>
    </row>
    <row r="8">
      <c r="A8" t="inlineStr">
        <is>
          <t>ORD-1088</t>
        </is>
      </c>
      <c r="B8" s="10" t="n">
        <v>46031</v>
      </c>
      <c r="C8" t="inlineStr">
        <is>
          <t>CUST-075</t>
        </is>
      </c>
      <c r="D8" t="inlineStr">
        <is>
          <t>Central</t>
        </is>
      </c>
      <c r="E8" t="inlineStr">
        <is>
          <t>Home &amp; Kitchen</t>
        </is>
      </c>
      <c r="F8" s="11" t="n">
        <v>128.85</v>
      </c>
      <c r="G8" s="11" t="n">
        <v>77.79000000000001</v>
      </c>
      <c r="H8" s="11" t="n">
        <v>20</v>
      </c>
      <c r="I8" s="11" t="n">
        <v>34.47</v>
      </c>
      <c r="J8" t="inlineStr">
        <is>
          <t>Delivered</t>
        </is>
      </c>
      <c r="K8" t="inlineStr">
        <is>
          <t>Mobile Money</t>
        </is>
      </c>
      <c r="L8" t="n">
        <v>3</v>
      </c>
      <c r="M8" s="11" t="n">
        <v>0</v>
      </c>
      <c r="N8" t="inlineStr">
        <is>
          <t>Repeat</t>
        </is>
      </c>
      <c r="O8" t="inlineStr">
        <is>
          <t>2026-01</t>
        </is>
      </c>
      <c r="P8" s="11" t="n">
        <v>128.85</v>
      </c>
      <c r="Q8" s="11" t="n">
        <v>51.05999999999999</v>
      </c>
      <c r="R8" s="11" t="n">
        <v>-14.47</v>
      </c>
      <c r="S8" s="11" t="n">
        <v>36.59</v>
      </c>
    </row>
    <row r="9">
      <c r="A9" t="inlineStr">
        <is>
          <t>ORD-1094</t>
        </is>
      </c>
      <c r="B9" s="10" t="n">
        <v>46032</v>
      </c>
      <c r="C9" t="inlineStr">
        <is>
          <t>CUST-039</t>
        </is>
      </c>
      <c r="D9" t="inlineStr">
        <is>
          <t>Eastern</t>
        </is>
      </c>
      <c r="E9" t="inlineStr">
        <is>
          <t>Small Appliances</t>
        </is>
      </c>
      <c r="F9" s="11" t="n">
        <v>306.76</v>
      </c>
      <c r="G9" s="11" t="n">
        <v>197.02</v>
      </c>
      <c r="H9" s="11" t="n">
        <v>30</v>
      </c>
      <c r="I9" s="11" t="n">
        <v>37.36</v>
      </c>
      <c r="J9" t="inlineStr">
        <is>
          <t>Delivered</t>
        </is>
      </c>
      <c r="K9" t="inlineStr">
        <is>
          <t>Cash on Delivery</t>
        </is>
      </c>
      <c r="L9" t="n">
        <v>3</v>
      </c>
      <c r="M9" s="11" t="n">
        <v>0</v>
      </c>
      <c r="N9" t="inlineStr">
        <is>
          <t>Repeat</t>
        </is>
      </c>
      <c r="O9" t="inlineStr">
        <is>
          <t>2026-01</t>
        </is>
      </c>
      <c r="P9" s="11" t="n">
        <v>306.76</v>
      </c>
      <c r="Q9" s="11" t="n">
        <v>109.74</v>
      </c>
      <c r="R9" s="11" t="n">
        <v>-7.36</v>
      </c>
      <c r="S9" s="11" t="n">
        <v>102.38</v>
      </c>
    </row>
    <row r="10">
      <c r="A10" t="inlineStr">
        <is>
          <t>ORD-1127</t>
        </is>
      </c>
      <c r="B10" s="10" t="n">
        <v>46033</v>
      </c>
      <c r="C10" t="inlineStr">
        <is>
          <t>CUST-058</t>
        </is>
      </c>
      <c r="D10" t="inlineStr">
        <is>
          <t>Central</t>
        </is>
      </c>
      <c r="E10" t="inlineStr">
        <is>
          <t>Small Appliances</t>
        </is>
      </c>
      <c r="F10" s="11" t="n">
        <v>921.74</v>
      </c>
      <c r="G10" s="11" t="n">
        <v>584.28</v>
      </c>
      <c r="H10" s="11" t="n">
        <v>30</v>
      </c>
      <c r="I10" s="11" t="n">
        <v>41.76</v>
      </c>
      <c r="J10" t="inlineStr">
        <is>
          <t>Delivered</t>
        </is>
      </c>
      <c r="K10" t="inlineStr">
        <is>
          <t>Mobile Money</t>
        </is>
      </c>
      <c r="L10" t="n">
        <v>3</v>
      </c>
      <c r="M10" s="11" t="n">
        <v>0</v>
      </c>
      <c r="N10" t="inlineStr">
        <is>
          <t>Repeat</t>
        </is>
      </c>
      <c r="O10" t="inlineStr">
        <is>
          <t>2026-01</t>
        </is>
      </c>
      <c r="P10" s="11" t="n">
        <v>921.74</v>
      </c>
      <c r="Q10" s="11" t="n">
        <v>337.46</v>
      </c>
      <c r="R10" s="11" t="n">
        <v>-11.76</v>
      </c>
      <c r="S10" s="11" t="n">
        <v>325.7</v>
      </c>
    </row>
    <row r="11">
      <c r="A11" t="inlineStr">
        <is>
          <t>ORD-1151</t>
        </is>
      </c>
      <c r="B11" s="10" t="n">
        <v>46033</v>
      </c>
      <c r="C11" t="inlineStr">
        <is>
          <t>CUST-041</t>
        </is>
      </c>
      <c r="D11" t="inlineStr">
        <is>
          <t>Central</t>
        </is>
      </c>
      <c r="E11" t="inlineStr">
        <is>
          <t>Small Appliances</t>
        </is>
      </c>
      <c r="F11" s="11" t="n">
        <v>845.77</v>
      </c>
      <c r="G11" s="11" t="n">
        <v>658.04</v>
      </c>
      <c r="H11" s="11" t="n">
        <v>30</v>
      </c>
      <c r="I11" s="11" t="n">
        <v>41.73</v>
      </c>
      <c r="J11" t="inlineStr">
        <is>
          <t>Delivered</t>
        </is>
      </c>
      <c r="K11" t="inlineStr">
        <is>
          <t>Cash on Delivery</t>
        </is>
      </c>
      <c r="L11" t="n">
        <v>3</v>
      </c>
      <c r="M11" s="11" t="n">
        <v>0</v>
      </c>
      <c r="N11" t="inlineStr">
        <is>
          <t>Repeat</t>
        </is>
      </c>
      <c r="O11" t="inlineStr">
        <is>
          <t>2026-01</t>
        </is>
      </c>
      <c r="P11" s="11" t="n">
        <v>845.77</v>
      </c>
      <c r="Q11" s="11" t="n">
        <v>187.73</v>
      </c>
      <c r="R11" s="11" t="n">
        <v>-11.73</v>
      </c>
      <c r="S11" s="11" t="n">
        <v>176</v>
      </c>
    </row>
    <row r="12">
      <c r="A12" t="inlineStr">
        <is>
          <t>ORD-1014</t>
        </is>
      </c>
      <c r="B12" s="10" t="n">
        <v>46034</v>
      </c>
      <c r="C12" t="inlineStr">
        <is>
          <t>CUST-001</t>
        </is>
      </c>
      <c r="D12" t="inlineStr">
        <is>
          <t>Northern</t>
        </is>
      </c>
      <c r="E12" t="inlineStr">
        <is>
          <t>Home &amp; Kitchen</t>
        </is>
      </c>
      <c r="F12" s="11" t="n">
        <v>128.49</v>
      </c>
      <c r="G12" s="11" t="n">
        <v>79.2</v>
      </c>
      <c r="H12" s="11" t="n">
        <v>15</v>
      </c>
      <c r="I12" s="11" t="n">
        <v>34.41</v>
      </c>
      <c r="J12" t="inlineStr">
        <is>
          <t>Delivered</t>
        </is>
      </c>
      <c r="K12" t="inlineStr">
        <is>
          <t>Mobile Money</t>
        </is>
      </c>
      <c r="L12" t="n">
        <v>3</v>
      </c>
      <c r="M12" s="11" t="n">
        <v>0</v>
      </c>
      <c r="N12" t="inlineStr">
        <is>
          <t>One-time</t>
        </is>
      </c>
      <c r="O12" t="inlineStr">
        <is>
          <t>2026-01</t>
        </is>
      </c>
      <c r="P12" s="11" t="n">
        <v>128.49</v>
      </c>
      <c r="Q12" s="11" t="n">
        <v>49.29000000000001</v>
      </c>
      <c r="R12" s="11" t="n">
        <v>-19.41</v>
      </c>
      <c r="S12" s="11" t="n">
        <v>29.88</v>
      </c>
    </row>
    <row r="13">
      <c r="A13" t="inlineStr">
        <is>
          <t>ORD-1086</t>
        </is>
      </c>
      <c r="B13" s="10" t="n">
        <v>46035</v>
      </c>
      <c r="C13" t="inlineStr">
        <is>
          <t>CUST-078</t>
        </is>
      </c>
      <c r="D13" t="inlineStr">
        <is>
          <t>Ashanti</t>
        </is>
      </c>
      <c r="E13" t="inlineStr">
        <is>
          <t>Stationery</t>
        </is>
      </c>
      <c r="F13" s="11" t="n">
        <v>152.42</v>
      </c>
      <c r="G13" s="11" t="n">
        <v>78.12</v>
      </c>
      <c r="H13" s="11" t="n">
        <v>15</v>
      </c>
      <c r="I13" s="11" t="n">
        <v>26.07</v>
      </c>
      <c r="J13" t="inlineStr">
        <is>
          <t>Delivered</t>
        </is>
      </c>
      <c r="K13" t="inlineStr">
        <is>
          <t>Cash on Delivery</t>
        </is>
      </c>
      <c r="L13" t="n">
        <v>2</v>
      </c>
      <c r="M13" s="11" t="n">
        <v>0</v>
      </c>
      <c r="N13" t="inlineStr">
        <is>
          <t>Repeat</t>
        </is>
      </c>
      <c r="O13" t="inlineStr">
        <is>
          <t>2026-01</t>
        </is>
      </c>
      <c r="P13" s="11" t="n">
        <v>152.42</v>
      </c>
      <c r="Q13" s="11" t="n">
        <v>74.29999999999998</v>
      </c>
      <c r="R13" s="11" t="n">
        <v>-11.07</v>
      </c>
      <c r="S13" s="11" t="n">
        <v>63.23</v>
      </c>
    </row>
    <row r="14">
      <c r="A14" t="inlineStr">
        <is>
          <t>ORD-1001</t>
        </is>
      </c>
      <c r="B14" s="10" t="n">
        <v>46036</v>
      </c>
      <c r="C14" t="inlineStr">
        <is>
          <t>CUST-087</t>
        </is>
      </c>
      <c r="D14" t="inlineStr">
        <is>
          <t>Western</t>
        </is>
      </c>
      <c r="E14" t="inlineStr">
        <is>
          <t>Personal Care</t>
        </is>
      </c>
      <c r="F14" s="11" t="n">
        <v>202.7</v>
      </c>
      <c r="G14" s="11" t="n">
        <v>83.29000000000001</v>
      </c>
      <c r="H14" s="11" t="n">
        <v>20</v>
      </c>
      <c r="I14" s="11" t="n">
        <v>37.01</v>
      </c>
      <c r="J14" t="inlineStr">
        <is>
          <t>Delivered</t>
        </is>
      </c>
      <c r="K14" t="inlineStr">
        <is>
          <t>Mobile Money</t>
        </is>
      </c>
      <c r="L14" t="n">
        <v>4</v>
      </c>
      <c r="M14" s="11" t="n">
        <v>0</v>
      </c>
      <c r="N14" t="inlineStr">
        <is>
          <t>Repeat</t>
        </is>
      </c>
      <c r="O14" t="inlineStr">
        <is>
          <t>2026-01</t>
        </is>
      </c>
      <c r="P14" s="11" t="n">
        <v>202.7</v>
      </c>
      <c r="Q14" s="11" t="n">
        <v>119.41</v>
      </c>
      <c r="R14" s="11" t="n">
        <v>-17.01</v>
      </c>
      <c r="S14" s="11" t="n">
        <v>102.4</v>
      </c>
    </row>
    <row r="15">
      <c r="A15" t="inlineStr">
        <is>
          <t>ORD-1069</t>
        </is>
      </c>
      <c r="B15" s="10" t="n">
        <v>46036</v>
      </c>
      <c r="C15" t="inlineStr">
        <is>
          <t>CUST-027</t>
        </is>
      </c>
      <c r="D15" t="inlineStr">
        <is>
          <t>Greater Accra</t>
        </is>
      </c>
      <c r="E15" t="inlineStr">
        <is>
          <t>Home &amp; Kitchen</t>
        </is>
      </c>
      <c r="F15" s="11" t="n">
        <v>128.61</v>
      </c>
      <c r="G15" s="11" t="n">
        <v>63.26</v>
      </c>
      <c r="H15" s="11" t="n">
        <v>25</v>
      </c>
      <c r="I15" s="11" t="n">
        <v>28.21</v>
      </c>
      <c r="J15" t="inlineStr">
        <is>
          <t>Returned</t>
        </is>
      </c>
      <c r="K15" t="inlineStr">
        <is>
          <t>Cash on Delivery</t>
        </is>
      </c>
      <c r="L15" t="n">
        <v>2</v>
      </c>
      <c r="M15" s="11" t="n">
        <v>20.07</v>
      </c>
      <c r="N15" t="inlineStr">
        <is>
          <t>Repeat</t>
        </is>
      </c>
      <c r="O15" t="inlineStr">
        <is>
          <t>2026-01</t>
        </is>
      </c>
      <c r="P15" s="11" t="n">
        <v>0</v>
      </c>
      <c r="Q15" s="11" t="n">
        <v>0</v>
      </c>
      <c r="R15" s="11" t="n">
        <v>-3.21</v>
      </c>
      <c r="S15" s="11" t="n">
        <v>-23.28</v>
      </c>
    </row>
    <row r="16">
      <c r="A16" t="inlineStr">
        <is>
          <t>ORD-1109</t>
        </is>
      </c>
      <c r="B16" s="10" t="n">
        <v>46036</v>
      </c>
      <c r="C16" t="inlineStr">
        <is>
          <t>CUST-037</t>
        </is>
      </c>
      <c r="D16" t="inlineStr">
        <is>
          <t>Eastern</t>
        </is>
      </c>
      <c r="E16" t="inlineStr">
        <is>
          <t>Personal Care</t>
        </is>
      </c>
      <c r="F16" s="11" t="n">
        <v>121.7</v>
      </c>
      <c r="G16" s="11" t="n">
        <v>61.34</v>
      </c>
      <c r="H16" s="11" t="n">
        <v>15</v>
      </c>
      <c r="I16" s="11" t="n">
        <v>22.55</v>
      </c>
      <c r="J16" t="inlineStr">
        <is>
          <t>Delivered</t>
        </is>
      </c>
      <c r="K16" t="inlineStr">
        <is>
          <t>Card</t>
        </is>
      </c>
      <c r="L16" t="n">
        <v>3</v>
      </c>
      <c r="M16" s="11" t="n">
        <v>0</v>
      </c>
      <c r="N16" t="inlineStr">
        <is>
          <t>Repeat</t>
        </is>
      </c>
      <c r="O16" t="inlineStr">
        <is>
          <t>2026-01</t>
        </is>
      </c>
      <c r="P16" s="11" t="n">
        <v>121.7</v>
      </c>
      <c r="Q16" s="11" t="n">
        <v>60.36</v>
      </c>
      <c r="R16" s="11" t="n">
        <v>-7.55</v>
      </c>
      <c r="S16" s="11" t="n">
        <v>52.81</v>
      </c>
    </row>
    <row r="17">
      <c r="A17" t="inlineStr">
        <is>
          <t>ORD-1006</t>
        </is>
      </c>
      <c r="B17" s="10" t="n">
        <v>46037</v>
      </c>
      <c r="C17" t="inlineStr">
        <is>
          <t>CUST-007</t>
        </is>
      </c>
      <c r="D17" t="inlineStr">
        <is>
          <t>Eastern</t>
        </is>
      </c>
      <c r="E17" t="inlineStr">
        <is>
          <t>Personal Care</t>
        </is>
      </c>
      <c r="F17" s="11" t="n">
        <v>163.28</v>
      </c>
      <c r="G17" s="11" t="n">
        <v>90.37</v>
      </c>
      <c r="H17" s="11" t="n">
        <v>15</v>
      </c>
      <c r="I17" s="11" t="n">
        <v>21.57</v>
      </c>
      <c r="J17" t="inlineStr">
        <is>
          <t>Delivered</t>
        </is>
      </c>
      <c r="K17" t="inlineStr">
        <is>
          <t>Card</t>
        </is>
      </c>
      <c r="L17" t="n">
        <v>2</v>
      </c>
      <c r="M17" s="11" t="n">
        <v>0</v>
      </c>
      <c r="N17" t="inlineStr">
        <is>
          <t>Repeat</t>
        </is>
      </c>
      <c r="O17" t="inlineStr">
        <is>
          <t>2026-01</t>
        </is>
      </c>
      <c r="P17" s="11" t="n">
        <v>163.28</v>
      </c>
      <c r="Q17" s="11" t="n">
        <v>72.91</v>
      </c>
      <c r="R17" s="11" t="n">
        <v>-6.57</v>
      </c>
      <c r="S17" s="11" t="n">
        <v>66.34</v>
      </c>
    </row>
    <row r="18">
      <c r="A18" t="inlineStr">
        <is>
          <t>ORD-1214</t>
        </is>
      </c>
      <c r="B18" s="10" t="n">
        <v>46037</v>
      </c>
      <c r="C18" t="inlineStr">
        <is>
          <t>CUST-018</t>
        </is>
      </c>
      <c r="D18" t="inlineStr">
        <is>
          <t>Northern</t>
        </is>
      </c>
      <c r="E18" t="inlineStr">
        <is>
          <t>Personal Care</t>
        </is>
      </c>
      <c r="F18" s="11" t="n">
        <v>104.55</v>
      </c>
      <c r="G18" s="11" t="n">
        <v>57.17</v>
      </c>
      <c r="H18" s="11" t="n">
        <v>30</v>
      </c>
      <c r="I18" s="11" t="n">
        <v>45.19</v>
      </c>
      <c r="J18" t="inlineStr">
        <is>
          <t>Delivered</t>
        </is>
      </c>
      <c r="K18" t="inlineStr">
        <is>
          <t>Cash on Delivery</t>
        </is>
      </c>
      <c r="L18" t="n">
        <v>5</v>
      </c>
      <c r="M18" s="11" t="n">
        <v>0</v>
      </c>
      <c r="N18" t="inlineStr">
        <is>
          <t>Repeat</t>
        </is>
      </c>
      <c r="O18" t="inlineStr">
        <is>
          <t>2026-01</t>
        </is>
      </c>
      <c r="P18" s="11" t="n">
        <v>104.55</v>
      </c>
      <c r="Q18" s="11" t="n">
        <v>47.38</v>
      </c>
      <c r="R18" s="11" t="n">
        <v>-15.19</v>
      </c>
      <c r="S18" s="11" t="n">
        <v>32.19</v>
      </c>
    </row>
    <row r="19">
      <c r="A19" t="inlineStr">
        <is>
          <t>ORD-1004</t>
        </is>
      </c>
      <c r="B19" s="10" t="n">
        <v>46038</v>
      </c>
      <c r="C19" t="inlineStr">
        <is>
          <t>CUST-022</t>
        </is>
      </c>
      <c r="D19" t="inlineStr">
        <is>
          <t>Central</t>
        </is>
      </c>
      <c r="E19" t="inlineStr">
        <is>
          <t>Home &amp; Kitchen</t>
        </is>
      </c>
      <c r="F19" s="11" t="n">
        <v>641.1900000000001</v>
      </c>
      <c r="G19" s="11" t="n">
        <v>312.73</v>
      </c>
      <c r="H19" s="11" t="n">
        <v>25</v>
      </c>
      <c r="I19" s="11" t="n">
        <v>34.85</v>
      </c>
      <c r="J19" t="inlineStr">
        <is>
          <t>Delivered</t>
        </is>
      </c>
      <c r="K19" t="inlineStr">
        <is>
          <t>Cash on Delivery</t>
        </is>
      </c>
      <c r="L19" t="n">
        <v>3</v>
      </c>
      <c r="M19" s="11" t="n">
        <v>0</v>
      </c>
      <c r="N19" t="inlineStr">
        <is>
          <t>Repeat</t>
        </is>
      </c>
      <c r="O19" t="inlineStr">
        <is>
          <t>2026-01</t>
        </is>
      </c>
      <c r="P19" s="11" t="n">
        <v>641.1900000000001</v>
      </c>
      <c r="Q19" s="11" t="n">
        <v>328.46</v>
      </c>
      <c r="R19" s="11" t="n">
        <v>-9.85</v>
      </c>
      <c r="S19" s="11" t="n">
        <v>318.61</v>
      </c>
    </row>
    <row r="20">
      <c r="A20" t="inlineStr">
        <is>
          <t>ORD-1194</t>
        </is>
      </c>
      <c r="B20" s="10" t="n">
        <v>46038</v>
      </c>
      <c r="C20" t="inlineStr">
        <is>
          <t>CUST-012</t>
        </is>
      </c>
      <c r="D20" t="inlineStr">
        <is>
          <t>Ashanti</t>
        </is>
      </c>
      <c r="E20" t="inlineStr">
        <is>
          <t>Personal Care</t>
        </is>
      </c>
      <c r="F20" s="11" t="n">
        <v>88.86</v>
      </c>
      <c r="G20" s="11" t="n">
        <v>47.36</v>
      </c>
      <c r="H20" s="11" t="n">
        <v>10</v>
      </c>
      <c r="I20" s="11" t="n">
        <v>24.13</v>
      </c>
      <c r="J20" t="inlineStr">
        <is>
          <t>Delivered</t>
        </is>
      </c>
      <c r="K20" t="inlineStr">
        <is>
          <t>Card</t>
        </is>
      </c>
      <c r="L20" t="n">
        <v>3</v>
      </c>
      <c r="M20" s="11" t="n">
        <v>0</v>
      </c>
      <c r="N20" t="inlineStr">
        <is>
          <t>Repeat</t>
        </is>
      </c>
      <c r="O20" t="inlineStr">
        <is>
          <t>2026-01</t>
        </is>
      </c>
      <c r="P20" s="11" t="n">
        <v>88.86</v>
      </c>
      <c r="Q20" s="11" t="n">
        <v>41.5</v>
      </c>
      <c r="R20" s="11" t="n">
        <v>-14.13</v>
      </c>
      <c r="S20" s="11" t="n">
        <v>27.37</v>
      </c>
    </row>
    <row r="21">
      <c r="A21" t="inlineStr">
        <is>
          <t>ORD-1056</t>
        </is>
      </c>
      <c r="B21" s="10" t="n">
        <v>46039</v>
      </c>
      <c r="C21" t="inlineStr">
        <is>
          <t>CUST-052</t>
        </is>
      </c>
      <c r="D21" t="inlineStr">
        <is>
          <t>Greater Accra</t>
        </is>
      </c>
      <c r="E21" t="inlineStr">
        <is>
          <t>Personal Care</t>
        </is>
      </c>
      <c r="F21" s="11" t="n">
        <v>183.68</v>
      </c>
      <c r="G21" s="11" t="n">
        <v>96.17</v>
      </c>
      <c r="H21" s="11" t="n">
        <v>15</v>
      </c>
      <c r="I21" s="11" t="n">
        <v>18.49</v>
      </c>
      <c r="J21" t="inlineStr">
        <is>
          <t>Delivered</t>
        </is>
      </c>
      <c r="K21" t="inlineStr">
        <is>
          <t>Mobile Money</t>
        </is>
      </c>
      <c r="L21" t="n">
        <v>1</v>
      </c>
      <c r="M21" s="11" t="n">
        <v>0</v>
      </c>
      <c r="N21" t="inlineStr">
        <is>
          <t>One-time</t>
        </is>
      </c>
      <c r="O21" t="inlineStr">
        <is>
          <t>2026-01</t>
        </is>
      </c>
      <c r="P21" s="11" t="n">
        <v>183.68</v>
      </c>
      <c r="Q21" s="11" t="n">
        <v>87.51000000000001</v>
      </c>
      <c r="R21" s="11" t="n">
        <v>-3.49</v>
      </c>
      <c r="S21" s="11" t="n">
        <v>84.02</v>
      </c>
    </row>
    <row r="22">
      <c r="A22" t="inlineStr">
        <is>
          <t>ORD-1007</t>
        </is>
      </c>
      <c r="B22" s="10" t="n">
        <v>46040</v>
      </c>
      <c r="C22" t="inlineStr">
        <is>
          <t>CUST-077</t>
        </is>
      </c>
      <c r="D22" t="inlineStr">
        <is>
          <t>Western</t>
        </is>
      </c>
      <c r="E22" t="inlineStr">
        <is>
          <t>Electronics Accessories</t>
        </is>
      </c>
      <c r="F22" s="11" t="n">
        <v>786.6900000000001</v>
      </c>
      <c r="G22" s="11" t="n">
        <v>466.26</v>
      </c>
      <c r="H22" s="11" t="n">
        <v>30</v>
      </c>
      <c r="I22" s="11" t="n">
        <v>41.46</v>
      </c>
      <c r="J22" t="inlineStr">
        <is>
          <t>Delivered</t>
        </is>
      </c>
      <c r="K22" t="inlineStr">
        <is>
          <t>Cash on Delivery</t>
        </is>
      </c>
      <c r="L22" t="n">
        <v>3</v>
      </c>
      <c r="M22" s="11" t="n">
        <v>0</v>
      </c>
      <c r="N22" t="inlineStr">
        <is>
          <t>Repeat</t>
        </is>
      </c>
      <c r="O22" t="inlineStr">
        <is>
          <t>2026-01</t>
        </is>
      </c>
      <c r="P22" s="11" t="n">
        <v>786.6900000000001</v>
      </c>
      <c r="Q22" s="11" t="n">
        <v>320.4300000000001</v>
      </c>
      <c r="R22" s="11" t="n">
        <v>-11.46</v>
      </c>
      <c r="S22" s="11" t="n">
        <v>308.97</v>
      </c>
    </row>
    <row r="23">
      <c r="A23" t="inlineStr">
        <is>
          <t>ORD-1171</t>
        </is>
      </c>
      <c r="B23" s="10" t="n">
        <v>46041</v>
      </c>
      <c r="C23" t="inlineStr">
        <is>
          <t>CUST-089</t>
        </is>
      </c>
      <c r="D23" t="inlineStr">
        <is>
          <t>Greater Accra</t>
        </is>
      </c>
      <c r="E23" t="inlineStr">
        <is>
          <t>Electronics Accessories</t>
        </is>
      </c>
      <c r="F23" s="11" t="n">
        <v>440.48</v>
      </c>
      <c r="G23" s="11" t="n">
        <v>267.44</v>
      </c>
      <c r="H23" s="11" t="n">
        <v>15</v>
      </c>
      <c r="I23" s="11" t="n">
        <v>20.4</v>
      </c>
      <c r="J23" t="inlineStr">
        <is>
          <t>Delivered</t>
        </is>
      </c>
      <c r="K23" t="inlineStr">
        <is>
          <t>Card</t>
        </is>
      </c>
      <c r="L23" t="n">
        <v>2</v>
      </c>
      <c r="M23" s="11" t="n">
        <v>0</v>
      </c>
      <c r="N23" t="inlineStr">
        <is>
          <t>Repeat</t>
        </is>
      </c>
      <c r="O23" t="inlineStr">
        <is>
          <t>2026-01</t>
        </is>
      </c>
      <c r="P23" s="11" t="n">
        <v>440.48</v>
      </c>
      <c r="Q23" s="11" t="n">
        <v>173.04</v>
      </c>
      <c r="R23" s="11" t="n">
        <v>-5.4</v>
      </c>
      <c r="S23" s="11" t="n">
        <v>167.64</v>
      </c>
    </row>
    <row r="24">
      <c r="A24" t="inlineStr">
        <is>
          <t>ORD-1126</t>
        </is>
      </c>
      <c r="B24" s="10" t="n">
        <v>46042</v>
      </c>
      <c r="C24" t="inlineStr">
        <is>
          <t>CUST-083</t>
        </is>
      </c>
      <c r="D24" t="inlineStr">
        <is>
          <t>Northern</t>
        </is>
      </c>
      <c r="E24" t="inlineStr">
        <is>
          <t>Small Appliances</t>
        </is>
      </c>
      <c r="F24" s="11" t="n">
        <v>1304.65</v>
      </c>
      <c r="G24" s="11" t="n">
        <v>927.22</v>
      </c>
      <c r="H24" s="11" t="n">
        <v>30</v>
      </c>
      <c r="I24" s="11" t="n">
        <v>45.84</v>
      </c>
      <c r="J24" t="inlineStr">
        <is>
          <t>Delivered</t>
        </is>
      </c>
      <c r="K24" t="inlineStr">
        <is>
          <t>Bank Transfer</t>
        </is>
      </c>
      <c r="L24" t="n">
        <v>3</v>
      </c>
      <c r="M24" s="11" t="n">
        <v>0</v>
      </c>
      <c r="N24" t="inlineStr">
        <is>
          <t>Repeat</t>
        </is>
      </c>
      <c r="O24" t="inlineStr">
        <is>
          <t>2026-01</t>
        </is>
      </c>
      <c r="P24" s="11" t="n">
        <v>1304.65</v>
      </c>
      <c r="Q24" s="11" t="n">
        <v>377.4300000000001</v>
      </c>
      <c r="R24" s="11" t="n">
        <v>-15.84</v>
      </c>
      <c r="S24" s="11" t="n">
        <v>361.59</v>
      </c>
    </row>
    <row r="25">
      <c r="A25" t="inlineStr">
        <is>
          <t>ORD-1235</t>
        </is>
      </c>
      <c r="B25" s="10" t="n">
        <v>46042</v>
      </c>
      <c r="C25" t="inlineStr">
        <is>
          <t>CUST-088</t>
        </is>
      </c>
      <c r="D25" t="inlineStr">
        <is>
          <t>Ashanti</t>
        </is>
      </c>
      <c r="E25" t="inlineStr">
        <is>
          <t>Small Appliances</t>
        </is>
      </c>
      <c r="F25" s="11" t="n">
        <v>1364.07</v>
      </c>
      <c r="G25" s="11" t="n">
        <v>956.8</v>
      </c>
      <c r="H25" s="11" t="n">
        <v>10</v>
      </c>
      <c r="I25" s="11" t="n">
        <v>16.79</v>
      </c>
      <c r="J25" t="inlineStr">
        <is>
          <t>Delivered</t>
        </is>
      </c>
      <c r="K25" t="inlineStr">
        <is>
          <t>Mobile Money</t>
        </is>
      </c>
      <c r="L25" t="n">
        <v>4</v>
      </c>
      <c r="M25" s="11" t="n">
        <v>0</v>
      </c>
      <c r="N25" t="inlineStr">
        <is>
          <t>Repeat</t>
        </is>
      </c>
      <c r="O25" t="inlineStr">
        <is>
          <t>2026-01</t>
        </is>
      </c>
      <c r="P25" s="11" t="n">
        <v>1364.07</v>
      </c>
      <c r="Q25" s="11" t="n">
        <v>407.27</v>
      </c>
      <c r="R25" s="11" t="n">
        <v>-6.79</v>
      </c>
      <c r="S25" s="11" t="n">
        <v>400.48</v>
      </c>
    </row>
    <row r="26">
      <c r="A26" t="inlineStr">
        <is>
          <t>ORD-1245</t>
        </is>
      </c>
      <c r="B26" s="10" t="n">
        <v>46042</v>
      </c>
      <c r="C26" t="inlineStr">
        <is>
          <t>CUST-047</t>
        </is>
      </c>
      <c r="D26" t="inlineStr">
        <is>
          <t>Greater Accra</t>
        </is>
      </c>
      <c r="E26" t="inlineStr">
        <is>
          <t>Home &amp; Kitchen</t>
        </is>
      </c>
      <c r="F26" s="11" t="n">
        <v>197.95</v>
      </c>
      <c r="G26" s="11" t="n">
        <v>109.37</v>
      </c>
      <c r="H26" s="11" t="n">
        <v>30</v>
      </c>
      <c r="I26" s="11" t="n">
        <v>38.17</v>
      </c>
      <c r="J26" t="inlineStr">
        <is>
          <t>Delivered</t>
        </is>
      </c>
      <c r="K26" t="inlineStr">
        <is>
          <t>Mobile Money</t>
        </is>
      </c>
      <c r="L26" t="n">
        <v>2</v>
      </c>
      <c r="M26" s="11" t="n">
        <v>0</v>
      </c>
      <c r="N26" t="inlineStr">
        <is>
          <t>Repeat</t>
        </is>
      </c>
      <c r="O26" t="inlineStr">
        <is>
          <t>2026-01</t>
        </is>
      </c>
      <c r="P26" s="11" t="n">
        <v>197.95</v>
      </c>
      <c r="Q26" s="11" t="n">
        <v>88.57999999999998</v>
      </c>
      <c r="R26" s="11" t="n">
        <v>-8.17</v>
      </c>
      <c r="S26" s="11" t="n">
        <v>80.41</v>
      </c>
    </row>
    <row r="27">
      <c r="A27" t="inlineStr">
        <is>
          <t>ORD-1034</t>
        </is>
      </c>
      <c r="B27" s="10" t="n">
        <v>46043</v>
      </c>
      <c r="C27" t="inlineStr">
        <is>
          <t>CUST-018</t>
        </is>
      </c>
      <c r="D27" t="inlineStr">
        <is>
          <t>Northern</t>
        </is>
      </c>
      <c r="E27" t="inlineStr">
        <is>
          <t>Electronics Accessories</t>
        </is>
      </c>
      <c r="F27" s="11" t="n">
        <v>394.09</v>
      </c>
      <c r="G27" s="11" t="n">
        <v>215.77</v>
      </c>
      <c r="H27" s="11" t="n">
        <v>15</v>
      </c>
      <c r="I27" s="11" t="n">
        <v>27.64</v>
      </c>
      <c r="J27" t="inlineStr">
        <is>
          <t>Delivered</t>
        </is>
      </c>
      <c r="K27" t="inlineStr">
        <is>
          <t>Cash on Delivery</t>
        </is>
      </c>
      <c r="L27" t="n">
        <v>3</v>
      </c>
      <c r="M27" s="11" t="n">
        <v>0</v>
      </c>
      <c r="N27" t="inlineStr">
        <is>
          <t>Repeat</t>
        </is>
      </c>
      <c r="O27" t="inlineStr">
        <is>
          <t>2026-01</t>
        </is>
      </c>
      <c r="P27" s="11" t="n">
        <v>394.09</v>
      </c>
      <c r="Q27" s="11" t="n">
        <v>178.32</v>
      </c>
      <c r="R27" s="11" t="n">
        <v>-12.64</v>
      </c>
      <c r="S27" s="11" t="n">
        <v>165.68</v>
      </c>
    </row>
    <row r="28">
      <c r="A28" t="inlineStr">
        <is>
          <t>ORD-1113</t>
        </is>
      </c>
      <c r="B28" s="10" t="n">
        <v>46046</v>
      </c>
      <c r="C28" t="inlineStr">
        <is>
          <t>CUST-068</t>
        </is>
      </c>
      <c r="D28" t="inlineStr">
        <is>
          <t>Greater Accra</t>
        </is>
      </c>
      <c r="E28" t="inlineStr">
        <is>
          <t>Electronics Accessories</t>
        </is>
      </c>
      <c r="F28" s="11" t="n">
        <v>424.26</v>
      </c>
      <c r="G28" s="11" t="n">
        <v>246.65</v>
      </c>
      <c r="H28" s="11" t="n">
        <v>20</v>
      </c>
      <c r="I28" s="11" t="n">
        <v>25.12</v>
      </c>
      <c r="J28" t="inlineStr">
        <is>
          <t>Delivered</t>
        </is>
      </c>
      <c r="K28" t="inlineStr">
        <is>
          <t>Bank Transfer</t>
        </is>
      </c>
      <c r="L28" t="n">
        <v>2</v>
      </c>
      <c r="M28" s="11" t="n">
        <v>0</v>
      </c>
      <c r="N28" t="inlineStr">
        <is>
          <t>Repeat</t>
        </is>
      </c>
      <c r="O28" t="inlineStr">
        <is>
          <t>2026-01</t>
        </is>
      </c>
      <c r="P28" s="11" t="n">
        <v>424.26</v>
      </c>
      <c r="Q28" s="11" t="n">
        <v>177.61</v>
      </c>
      <c r="R28" s="11" t="n">
        <v>-5.12</v>
      </c>
      <c r="S28" s="11" t="n">
        <v>172.49</v>
      </c>
    </row>
    <row r="29">
      <c r="A29" t="inlineStr">
        <is>
          <t>ORD-1010</t>
        </is>
      </c>
      <c r="B29" s="10" t="n">
        <v>46048</v>
      </c>
      <c r="C29" t="inlineStr">
        <is>
          <t>CUST-010</t>
        </is>
      </c>
      <c r="D29" t="inlineStr">
        <is>
          <t>Greater Accra</t>
        </is>
      </c>
      <c r="E29" t="inlineStr">
        <is>
          <t>Personal Care</t>
        </is>
      </c>
      <c r="F29" s="11" t="n">
        <v>164.12</v>
      </c>
      <c r="G29" s="11" t="n">
        <v>69.56</v>
      </c>
      <c r="H29" s="11" t="n">
        <v>20</v>
      </c>
      <c r="I29" s="11" t="n">
        <v>30.81</v>
      </c>
      <c r="J29" t="inlineStr">
        <is>
          <t>Delivered</t>
        </is>
      </c>
      <c r="K29" t="inlineStr">
        <is>
          <t>Mobile Money</t>
        </is>
      </c>
      <c r="L29" t="n">
        <v>1</v>
      </c>
      <c r="M29" s="11" t="n">
        <v>0</v>
      </c>
      <c r="N29" t="inlineStr">
        <is>
          <t>Repeat</t>
        </is>
      </c>
      <c r="O29" t="inlineStr">
        <is>
          <t>2026-01</t>
        </is>
      </c>
      <c r="P29" s="11" t="n">
        <v>164.12</v>
      </c>
      <c r="Q29" s="11" t="n">
        <v>94.56</v>
      </c>
      <c r="R29" s="11" t="n">
        <v>-10.81</v>
      </c>
      <c r="S29" s="11" t="n">
        <v>83.75</v>
      </c>
    </row>
    <row r="30">
      <c r="A30" t="inlineStr">
        <is>
          <t>ORD-1080</t>
        </is>
      </c>
      <c r="B30" s="10" t="n">
        <v>46048</v>
      </c>
      <c r="C30" t="inlineStr">
        <is>
          <t>CUST-057</t>
        </is>
      </c>
      <c r="D30" t="inlineStr">
        <is>
          <t>Greater Accra</t>
        </is>
      </c>
      <c r="E30" t="inlineStr">
        <is>
          <t>Electronics Accessories</t>
        </is>
      </c>
      <c r="F30" s="11" t="n">
        <v>325.56</v>
      </c>
      <c r="G30" s="11" t="n">
        <v>170.99</v>
      </c>
      <c r="H30" s="11" t="n">
        <v>20</v>
      </c>
      <c r="I30" s="11" t="n">
        <v>29.96</v>
      </c>
      <c r="J30" t="inlineStr">
        <is>
          <t>Delivered</t>
        </is>
      </c>
      <c r="K30" t="inlineStr">
        <is>
          <t>Mobile Money</t>
        </is>
      </c>
      <c r="L30" t="n">
        <v>1</v>
      </c>
      <c r="M30" s="11" t="n">
        <v>0</v>
      </c>
      <c r="N30" t="inlineStr">
        <is>
          <t>Repeat</t>
        </is>
      </c>
      <c r="O30" t="inlineStr">
        <is>
          <t>2026-01</t>
        </is>
      </c>
      <c r="P30" s="11" t="n">
        <v>325.56</v>
      </c>
      <c r="Q30" s="11" t="n">
        <v>154.57</v>
      </c>
      <c r="R30" s="11" t="n">
        <v>-9.960000000000001</v>
      </c>
      <c r="S30" s="11" t="n">
        <v>144.61</v>
      </c>
    </row>
    <row r="31">
      <c r="A31" t="inlineStr">
        <is>
          <t>ORD-1017</t>
        </is>
      </c>
      <c r="B31" s="10" t="n">
        <v>46049</v>
      </c>
      <c r="C31" t="inlineStr">
        <is>
          <t>CUST-046</t>
        </is>
      </c>
      <c r="D31" t="inlineStr">
        <is>
          <t>Greater Accra</t>
        </is>
      </c>
      <c r="E31" t="inlineStr">
        <is>
          <t>Stationery</t>
        </is>
      </c>
      <c r="F31" s="11" t="n">
        <v>160.88</v>
      </c>
      <c r="G31" s="11" t="n">
        <v>68.08</v>
      </c>
      <c r="H31" s="11" t="n">
        <v>30</v>
      </c>
      <c r="I31" s="11" t="n">
        <v>39.49</v>
      </c>
      <c r="J31" t="inlineStr">
        <is>
          <t>Failed</t>
        </is>
      </c>
      <c r="K31" t="inlineStr">
        <is>
          <t>Mobile Money</t>
        </is>
      </c>
      <c r="L31" t="n">
        <v>4</v>
      </c>
      <c r="M31" s="11" t="n">
        <v>24.6</v>
      </c>
      <c r="N31" t="inlineStr">
        <is>
          <t>Repeat</t>
        </is>
      </c>
      <c r="O31" t="inlineStr">
        <is>
          <t>2026-01</t>
        </is>
      </c>
      <c r="P31" s="11" t="n">
        <v>0</v>
      </c>
      <c r="Q31" s="11" t="n">
        <v>0</v>
      </c>
      <c r="R31" s="11" t="n">
        <v>-9.49</v>
      </c>
      <c r="S31" s="11" t="n">
        <v>-34.09</v>
      </c>
    </row>
    <row r="32">
      <c r="A32" t="inlineStr">
        <is>
          <t>ORD-1128</t>
        </is>
      </c>
      <c r="B32" s="10" t="n">
        <v>46049</v>
      </c>
      <c r="C32" t="inlineStr">
        <is>
          <t>CUST-044</t>
        </is>
      </c>
      <c r="D32" t="inlineStr">
        <is>
          <t>Greater Accra</t>
        </is>
      </c>
      <c r="E32" t="inlineStr">
        <is>
          <t>Small Appliances</t>
        </is>
      </c>
      <c r="F32" s="11" t="n">
        <v>263.84</v>
      </c>
      <c r="G32" s="11" t="n">
        <v>188.99</v>
      </c>
      <c r="H32" s="11" t="n">
        <v>10</v>
      </c>
      <c r="I32" s="11" t="n">
        <v>14.48</v>
      </c>
      <c r="J32" t="inlineStr">
        <is>
          <t>Delivered</t>
        </is>
      </c>
      <c r="K32" t="inlineStr">
        <is>
          <t>Mobile Money</t>
        </is>
      </c>
      <c r="L32" t="n">
        <v>2</v>
      </c>
      <c r="M32" s="11" t="n">
        <v>0</v>
      </c>
      <c r="N32" t="inlineStr">
        <is>
          <t>Repeat</t>
        </is>
      </c>
      <c r="O32" t="inlineStr">
        <is>
          <t>2026-01</t>
        </is>
      </c>
      <c r="P32" s="11" t="n">
        <v>263.84</v>
      </c>
      <c r="Q32" s="11" t="n">
        <v>74.84999999999997</v>
      </c>
      <c r="R32" s="11" t="n">
        <v>-4.48</v>
      </c>
      <c r="S32" s="11" t="n">
        <v>70.37</v>
      </c>
    </row>
    <row r="33">
      <c r="A33" t="inlineStr">
        <is>
          <t>ORD-1196</t>
        </is>
      </c>
      <c r="B33" s="10" t="n">
        <v>46050</v>
      </c>
      <c r="C33" t="inlineStr">
        <is>
          <t>CUST-043</t>
        </is>
      </c>
      <c r="D33" t="inlineStr">
        <is>
          <t>Greater Accra</t>
        </is>
      </c>
      <c r="E33" t="inlineStr">
        <is>
          <t>Home &amp; Kitchen</t>
        </is>
      </c>
      <c r="F33" s="11" t="n">
        <v>643.46</v>
      </c>
      <c r="G33" s="11" t="n">
        <v>346.05</v>
      </c>
      <c r="H33" s="11" t="n">
        <v>25</v>
      </c>
      <c r="I33" s="11" t="n">
        <v>35.89</v>
      </c>
      <c r="J33" t="inlineStr">
        <is>
          <t>Delivered</t>
        </is>
      </c>
      <c r="K33" t="inlineStr">
        <is>
          <t>Cash on Delivery</t>
        </is>
      </c>
      <c r="L33" t="n">
        <v>4</v>
      </c>
      <c r="M33" s="11" t="n">
        <v>0</v>
      </c>
      <c r="N33" t="inlineStr">
        <is>
          <t>Repeat</t>
        </is>
      </c>
      <c r="O33" t="inlineStr">
        <is>
          <t>2026-01</t>
        </is>
      </c>
      <c r="P33" s="11" t="n">
        <v>643.46</v>
      </c>
      <c r="Q33" s="11" t="n">
        <v>297.41</v>
      </c>
      <c r="R33" s="11" t="n">
        <v>-10.89</v>
      </c>
      <c r="S33" s="11" t="n">
        <v>286.52</v>
      </c>
    </row>
    <row r="34">
      <c r="A34" t="inlineStr">
        <is>
          <t>ORD-1241</t>
        </is>
      </c>
      <c r="B34" s="10" t="n">
        <v>46050</v>
      </c>
      <c r="C34" t="inlineStr">
        <is>
          <t>CUST-012</t>
        </is>
      </c>
      <c r="D34" t="inlineStr">
        <is>
          <t>Ashanti</t>
        </is>
      </c>
      <c r="E34" t="inlineStr">
        <is>
          <t>Electronics Accessories</t>
        </is>
      </c>
      <c r="F34" s="11" t="n">
        <v>332.78</v>
      </c>
      <c r="G34" s="11" t="n">
        <v>194.6</v>
      </c>
      <c r="H34" s="11" t="n">
        <v>20</v>
      </c>
      <c r="I34" s="11" t="n">
        <v>26.02</v>
      </c>
      <c r="J34" t="inlineStr">
        <is>
          <t>Delivered</t>
        </is>
      </c>
      <c r="K34" t="inlineStr">
        <is>
          <t>Mobile Money</t>
        </is>
      </c>
      <c r="L34" t="n">
        <v>3</v>
      </c>
      <c r="M34" s="11" t="n">
        <v>0</v>
      </c>
      <c r="N34" t="inlineStr">
        <is>
          <t>Repeat</t>
        </is>
      </c>
      <c r="O34" t="inlineStr">
        <is>
          <t>2026-01</t>
        </is>
      </c>
      <c r="P34" s="11" t="n">
        <v>332.78</v>
      </c>
      <c r="Q34" s="11" t="n">
        <v>138.18</v>
      </c>
      <c r="R34" s="11" t="n">
        <v>-6.02</v>
      </c>
      <c r="S34" s="11" t="n">
        <v>132.16</v>
      </c>
    </row>
    <row r="35">
      <c r="A35" t="inlineStr">
        <is>
          <t>ORD-1212</t>
        </is>
      </c>
      <c r="B35" s="10" t="n">
        <v>46051</v>
      </c>
      <c r="C35" t="inlineStr">
        <is>
          <t>CUST-005</t>
        </is>
      </c>
      <c r="D35" t="inlineStr">
        <is>
          <t>Central</t>
        </is>
      </c>
      <c r="E35" t="inlineStr">
        <is>
          <t>Stationery</t>
        </is>
      </c>
      <c r="F35" s="11" t="n">
        <v>84.17</v>
      </c>
      <c r="G35" s="11" t="n">
        <v>41.07</v>
      </c>
      <c r="H35" s="11" t="n">
        <v>10</v>
      </c>
      <c r="I35" s="11" t="n">
        <v>19.41</v>
      </c>
      <c r="J35" t="inlineStr">
        <is>
          <t>Delivered</t>
        </is>
      </c>
      <c r="K35" t="inlineStr">
        <is>
          <t>Cash on Delivery</t>
        </is>
      </c>
      <c r="L35" t="n">
        <v>2</v>
      </c>
      <c r="M35" s="11" t="n">
        <v>0</v>
      </c>
      <c r="N35" t="inlineStr">
        <is>
          <t>Repeat</t>
        </is>
      </c>
      <c r="O35" t="inlineStr">
        <is>
          <t>2026-01</t>
        </is>
      </c>
      <c r="P35" s="11" t="n">
        <v>84.17</v>
      </c>
      <c r="Q35" s="11" t="n">
        <v>43.1</v>
      </c>
      <c r="R35" s="11" t="n">
        <v>-9.41</v>
      </c>
      <c r="S35" s="11" t="n">
        <v>33.69</v>
      </c>
    </row>
    <row r="36">
      <c r="A36" t="inlineStr">
        <is>
          <t>ORD-1031</t>
        </is>
      </c>
      <c r="B36" s="10" t="n">
        <v>46054</v>
      </c>
      <c r="C36" t="inlineStr">
        <is>
          <t>CUST-059</t>
        </is>
      </c>
      <c r="D36" t="inlineStr">
        <is>
          <t>Greater Accra</t>
        </is>
      </c>
      <c r="E36" t="inlineStr">
        <is>
          <t>Electronics Accessories</t>
        </is>
      </c>
      <c r="F36" s="11" t="n">
        <v>461.01</v>
      </c>
      <c r="G36" s="11" t="n">
        <v>283.8</v>
      </c>
      <c r="H36" s="11" t="n">
        <v>30</v>
      </c>
      <c r="I36" s="11" t="n">
        <v>37.95</v>
      </c>
      <c r="J36" t="inlineStr">
        <is>
          <t>Failed</t>
        </is>
      </c>
      <c r="K36" t="inlineStr">
        <is>
          <t>Card</t>
        </is>
      </c>
      <c r="L36" t="n">
        <v>8</v>
      </c>
      <c r="M36" s="11" t="n">
        <v>22.12</v>
      </c>
      <c r="N36" t="inlineStr">
        <is>
          <t>Repeat</t>
        </is>
      </c>
      <c r="O36" t="inlineStr">
        <is>
          <t>2026-02</t>
        </is>
      </c>
      <c r="P36" s="11" t="n">
        <v>0</v>
      </c>
      <c r="Q36" s="11" t="n">
        <v>0</v>
      </c>
      <c r="R36" s="11" t="n">
        <v>-7.95</v>
      </c>
      <c r="S36" s="11" t="n">
        <v>-30.07</v>
      </c>
    </row>
    <row r="37">
      <c r="A37" t="inlineStr">
        <is>
          <t>ORD-1140</t>
        </is>
      </c>
      <c r="B37" s="10" t="n">
        <v>46054</v>
      </c>
      <c r="C37" t="inlineStr">
        <is>
          <t>CUST-037</t>
        </is>
      </c>
      <c r="D37" t="inlineStr">
        <is>
          <t>Eastern</t>
        </is>
      </c>
      <c r="E37" t="inlineStr">
        <is>
          <t>Electronics Accessories</t>
        </is>
      </c>
      <c r="F37" s="11" t="n">
        <v>211.46</v>
      </c>
      <c r="G37" s="11" t="n">
        <v>127.06</v>
      </c>
      <c r="H37" s="11" t="n">
        <v>30</v>
      </c>
      <c r="I37" s="11" t="n">
        <v>37.47</v>
      </c>
      <c r="J37" t="inlineStr">
        <is>
          <t>Delivered</t>
        </is>
      </c>
      <c r="K37" t="inlineStr">
        <is>
          <t>Bank Transfer</t>
        </is>
      </c>
      <c r="L37" t="n">
        <v>1</v>
      </c>
      <c r="M37" s="11" t="n">
        <v>0</v>
      </c>
      <c r="N37" t="inlineStr">
        <is>
          <t>Repeat</t>
        </is>
      </c>
      <c r="O37" t="inlineStr">
        <is>
          <t>2026-02</t>
        </is>
      </c>
      <c r="P37" s="11" t="n">
        <v>211.46</v>
      </c>
      <c r="Q37" s="11" t="n">
        <v>84.40000000000001</v>
      </c>
      <c r="R37" s="11" t="n">
        <v>-7.47</v>
      </c>
      <c r="S37" s="11" t="n">
        <v>76.93000000000001</v>
      </c>
    </row>
    <row r="38">
      <c r="A38" t="inlineStr">
        <is>
          <t>ORD-1167</t>
        </is>
      </c>
      <c r="B38" s="10" t="n">
        <v>46054</v>
      </c>
      <c r="C38" t="inlineStr">
        <is>
          <t>CUST-067</t>
        </is>
      </c>
      <c r="D38" t="inlineStr">
        <is>
          <t>Greater Accra</t>
        </is>
      </c>
      <c r="E38" t="inlineStr">
        <is>
          <t>Electronics Accessories</t>
        </is>
      </c>
      <c r="F38" s="11" t="n">
        <v>215.02</v>
      </c>
      <c r="G38" s="11" t="n">
        <v>124.3</v>
      </c>
      <c r="H38" s="11" t="n">
        <v>15</v>
      </c>
      <c r="I38" s="11" t="n">
        <v>20.46</v>
      </c>
      <c r="J38" t="inlineStr">
        <is>
          <t>Failed</t>
        </is>
      </c>
      <c r="K38" t="inlineStr">
        <is>
          <t>Card</t>
        </is>
      </c>
      <c r="L38" t="n">
        <v>3</v>
      </c>
      <c r="M38" s="11" t="n">
        <v>12.26</v>
      </c>
      <c r="N38" t="inlineStr">
        <is>
          <t>Repeat</t>
        </is>
      </c>
      <c r="O38" t="inlineStr">
        <is>
          <t>2026-02</t>
        </is>
      </c>
      <c r="P38" s="11" t="n">
        <v>0</v>
      </c>
      <c r="Q38" s="11" t="n">
        <v>0</v>
      </c>
      <c r="R38" s="11" t="n">
        <v>-5.46</v>
      </c>
      <c r="S38" s="11" t="n">
        <v>-17.72</v>
      </c>
    </row>
    <row r="39">
      <c r="A39" t="inlineStr">
        <is>
          <t>ORD-1009</t>
        </is>
      </c>
      <c r="B39" s="10" t="n">
        <v>46056</v>
      </c>
      <c r="C39" t="inlineStr">
        <is>
          <t>CUST-086</t>
        </is>
      </c>
      <c r="D39" t="inlineStr">
        <is>
          <t>Greater Accra</t>
        </is>
      </c>
      <c r="E39" t="inlineStr">
        <is>
          <t>Personal Care</t>
        </is>
      </c>
      <c r="F39" s="11" t="n">
        <v>150.74</v>
      </c>
      <c r="G39" s="11" t="n">
        <v>85.5</v>
      </c>
      <c r="H39" s="11" t="n">
        <v>10</v>
      </c>
      <c r="I39" s="11" t="n">
        <v>12.09</v>
      </c>
      <c r="J39" t="inlineStr">
        <is>
          <t>Delivered</t>
        </is>
      </c>
      <c r="K39" t="inlineStr">
        <is>
          <t>Cash on Delivery</t>
        </is>
      </c>
      <c r="L39" t="n">
        <v>2</v>
      </c>
      <c r="M39" s="11" t="n">
        <v>0</v>
      </c>
      <c r="N39" t="inlineStr">
        <is>
          <t>Repeat</t>
        </is>
      </c>
      <c r="O39" t="inlineStr">
        <is>
          <t>2026-02</t>
        </is>
      </c>
      <c r="P39" s="11" t="n">
        <v>150.74</v>
      </c>
      <c r="Q39" s="11" t="n">
        <v>65.24000000000001</v>
      </c>
      <c r="R39" s="11" t="n">
        <v>-2.09</v>
      </c>
      <c r="S39" s="11" t="n">
        <v>63.15</v>
      </c>
    </row>
    <row r="40">
      <c r="A40" t="inlineStr">
        <is>
          <t>ORD-1100</t>
        </is>
      </c>
      <c r="B40" s="10" t="n">
        <v>46056</v>
      </c>
      <c r="C40" t="inlineStr">
        <is>
          <t>CUST-070</t>
        </is>
      </c>
      <c r="D40" t="inlineStr">
        <is>
          <t>Greater Accra</t>
        </is>
      </c>
      <c r="E40" t="inlineStr">
        <is>
          <t>Home &amp; Kitchen</t>
        </is>
      </c>
      <c r="F40" s="11" t="n">
        <v>154.7</v>
      </c>
      <c r="G40" s="11" t="n">
        <v>86.48</v>
      </c>
      <c r="H40" s="11" t="n">
        <v>10</v>
      </c>
      <c r="I40" s="11" t="n">
        <v>13.32</v>
      </c>
      <c r="J40" t="inlineStr">
        <is>
          <t>Delivered</t>
        </is>
      </c>
      <c r="K40" t="inlineStr">
        <is>
          <t>Card</t>
        </is>
      </c>
      <c r="L40" t="n">
        <v>1</v>
      </c>
      <c r="M40" s="11" t="n">
        <v>0</v>
      </c>
      <c r="N40" t="inlineStr">
        <is>
          <t>Repeat</t>
        </is>
      </c>
      <c r="O40" t="inlineStr">
        <is>
          <t>2026-02</t>
        </is>
      </c>
      <c r="P40" s="11" t="n">
        <v>154.7</v>
      </c>
      <c r="Q40" s="11" t="n">
        <v>68.21999999999998</v>
      </c>
      <c r="R40" s="11" t="n">
        <v>-3.32</v>
      </c>
      <c r="S40" s="11" t="n">
        <v>64.90000000000001</v>
      </c>
    </row>
    <row r="41">
      <c r="A41" t="inlineStr">
        <is>
          <t>ORD-1108</t>
        </is>
      </c>
      <c r="B41" s="10" t="n">
        <v>46056</v>
      </c>
      <c r="C41" t="inlineStr">
        <is>
          <t>CUST-072</t>
        </is>
      </c>
      <c r="D41" t="inlineStr">
        <is>
          <t>Western</t>
        </is>
      </c>
      <c r="E41" t="inlineStr">
        <is>
          <t>Electronics Accessories</t>
        </is>
      </c>
      <c r="F41" s="11" t="n">
        <v>864.4299999999999</v>
      </c>
      <c r="G41" s="11" t="n">
        <v>536.9</v>
      </c>
      <c r="H41" s="11" t="n">
        <v>10</v>
      </c>
      <c r="I41" s="11" t="n">
        <v>23.11</v>
      </c>
      <c r="J41" t="inlineStr">
        <is>
          <t>Failed</t>
        </is>
      </c>
      <c r="K41" t="inlineStr">
        <is>
          <t>Bank Transfer</t>
        </is>
      </c>
      <c r="L41" t="n">
        <v>8</v>
      </c>
      <c r="M41" s="11" t="n">
        <v>22.76</v>
      </c>
      <c r="N41" t="inlineStr">
        <is>
          <t>Repeat</t>
        </is>
      </c>
      <c r="O41" t="inlineStr">
        <is>
          <t>2026-02</t>
        </is>
      </c>
      <c r="P41" s="11" t="n">
        <v>0</v>
      </c>
      <c r="Q41" s="11" t="n">
        <v>0</v>
      </c>
      <c r="R41" s="11" t="n">
        <v>-13.11</v>
      </c>
      <c r="S41" s="11" t="n">
        <v>-35.87</v>
      </c>
    </row>
    <row r="42">
      <c r="A42" t="inlineStr">
        <is>
          <t>ORD-1132</t>
        </is>
      </c>
      <c r="B42" s="10" t="n">
        <v>46056</v>
      </c>
      <c r="C42" t="inlineStr">
        <is>
          <t>CUST-077</t>
        </is>
      </c>
      <c r="D42" t="inlineStr">
        <is>
          <t>Western</t>
        </is>
      </c>
      <c r="E42" t="inlineStr">
        <is>
          <t>Stationery</t>
        </is>
      </c>
      <c r="F42" s="11" t="n">
        <v>28.98</v>
      </c>
      <c r="G42" s="11" t="n">
        <v>13.06</v>
      </c>
      <c r="H42" s="11" t="n">
        <v>20</v>
      </c>
      <c r="I42" s="11" t="n">
        <v>37.13</v>
      </c>
      <c r="J42" t="inlineStr">
        <is>
          <t>Delivered</t>
        </is>
      </c>
      <c r="K42" t="inlineStr">
        <is>
          <t>Card</t>
        </is>
      </c>
      <c r="L42" t="n">
        <v>3</v>
      </c>
      <c r="M42" s="11" t="n">
        <v>0</v>
      </c>
      <c r="N42" t="inlineStr">
        <is>
          <t>Repeat</t>
        </is>
      </c>
      <c r="O42" t="inlineStr">
        <is>
          <t>2026-02</t>
        </is>
      </c>
      <c r="P42" s="11" t="n">
        <v>28.98</v>
      </c>
      <c r="Q42" s="11" t="n">
        <v>15.92</v>
      </c>
      <c r="R42" s="11" t="n">
        <v>-17.13</v>
      </c>
      <c r="S42" s="11" t="n">
        <v>-1.21</v>
      </c>
    </row>
    <row r="43">
      <c r="A43" t="inlineStr">
        <is>
          <t>ORD-1117</t>
        </is>
      </c>
      <c r="B43" s="10" t="n">
        <v>46058</v>
      </c>
      <c r="C43" t="inlineStr">
        <is>
          <t>CUST-033</t>
        </is>
      </c>
      <c r="D43" t="inlineStr">
        <is>
          <t>Northern</t>
        </is>
      </c>
      <c r="E43" t="inlineStr">
        <is>
          <t>Home &amp; Kitchen</t>
        </is>
      </c>
      <c r="F43" s="11" t="n">
        <v>121.99</v>
      </c>
      <c r="G43" s="11" t="n">
        <v>64.59999999999999</v>
      </c>
      <c r="H43" s="11" t="n">
        <v>25</v>
      </c>
      <c r="I43" s="11" t="n">
        <v>38.76</v>
      </c>
      <c r="J43" t="inlineStr">
        <is>
          <t>Delivered</t>
        </is>
      </c>
      <c r="K43" t="inlineStr">
        <is>
          <t>Cash on Delivery</t>
        </is>
      </c>
      <c r="L43" t="n">
        <v>4</v>
      </c>
      <c r="M43" s="11" t="n">
        <v>0</v>
      </c>
      <c r="N43" t="inlineStr">
        <is>
          <t>Repeat</t>
        </is>
      </c>
      <c r="O43" t="inlineStr">
        <is>
          <t>2026-02</t>
        </is>
      </c>
      <c r="P43" s="11" t="n">
        <v>121.99</v>
      </c>
      <c r="Q43" s="11" t="n">
        <v>57.39</v>
      </c>
      <c r="R43" s="11" t="n">
        <v>-13.76</v>
      </c>
      <c r="S43" s="11" t="n">
        <v>43.63</v>
      </c>
    </row>
    <row r="44">
      <c r="A44" t="inlineStr">
        <is>
          <t>ORD-1227</t>
        </is>
      </c>
      <c r="B44" s="10" t="n">
        <v>46058</v>
      </c>
      <c r="C44" t="inlineStr">
        <is>
          <t>CUST-070</t>
        </is>
      </c>
      <c r="D44" t="inlineStr">
        <is>
          <t>Greater Accra</t>
        </is>
      </c>
      <c r="E44" t="inlineStr">
        <is>
          <t>Home &amp; Kitchen</t>
        </is>
      </c>
      <c r="F44" s="11" t="n">
        <v>600.14</v>
      </c>
      <c r="G44" s="11" t="n">
        <v>322.63</v>
      </c>
      <c r="H44" s="11" t="n">
        <v>10</v>
      </c>
      <c r="I44" s="11" t="n">
        <v>17.24</v>
      </c>
      <c r="J44" t="inlineStr">
        <is>
          <t>Delivered</t>
        </is>
      </c>
      <c r="K44" t="inlineStr">
        <is>
          <t>Mobile Money</t>
        </is>
      </c>
      <c r="L44" t="n">
        <v>1</v>
      </c>
      <c r="M44" s="11" t="n">
        <v>0</v>
      </c>
      <c r="N44" t="inlineStr">
        <is>
          <t>Repeat</t>
        </is>
      </c>
      <c r="O44" t="inlineStr">
        <is>
          <t>2026-02</t>
        </is>
      </c>
      <c r="P44" s="11" t="n">
        <v>600.14</v>
      </c>
      <c r="Q44" s="11" t="n">
        <v>277.51</v>
      </c>
      <c r="R44" s="11" t="n">
        <v>-7.24</v>
      </c>
      <c r="S44" s="11" t="n">
        <v>270.27</v>
      </c>
    </row>
    <row r="45">
      <c r="A45" t="inlineStr">
        <is>
          <t>ORD-1062</t>
        </is>
      </c>
      <c r="B45" s="10" t="n">
        <v>46059</v>
      </c>
      <c r="C45" t="inlineStr">
        <is>
          <t>CUST-010</t>
        </is>
      </c>
      <c r="D45" t="inlineStr">
        <is>
          <t>Greater Accra</t>
        </is>
      </c>
      <c r="E45" t="inlineStr">
        <is>
          <t>Electronics Accessories</t>
        </is>
      </c>
      <c r="F45" s="11" t="n">
        <v>729.96</v>
      </c>
      <c r="G45" s="11" t="n">
        <v>457.76</v>
      </c>
      <c r="H45" s="11" t="n">
        <v>30</v>
      </c>
      <c r="I45" s="11" t="n">
        <v>41.21</v>
      </c>
      <c r="J45" t="inlineStr">
        <is>
          <t>Delivered</t>
        </is>
      </c>
      <c r="K45" t="inlineStr">
        <is>
          <t>Mobile Money</t>
        </is>
      </c>
      <c r="L45" t="n">
        <v>2</v>
      </c>
      <c r="M45" s="11" t="n">
        <v>0</v>
      </c>
      <c r="N45" t="inlineStr">
        <is>
          <t>Repeat</t>
        </is>
      </c>
      <c r="O45" t="inlineStr">
        <is>
          <t>2026-02</t>
        </is>
      </c>
      <c r="P45" s="11" t="n">
        <v>729.96</v>
      </c>
      <c r="Q45" s="11" t="n">
        <v>272.2</v>
      </c>
      <c r="R45" s="11" t="n">
        <v>-11.21</v>
      </c>
      <c r="S45" s="11" t="n">
        <v>260.99</v>
      </c>
    </row>
    <row r="46">
      <c r="A46" t="inlineStr">
        <is>
          <t>ORD-1077</t>
        </is>
      </c>
      <c r="B46" s="10" t="n">
        <v>46059</v>
      </c>
      <c r="C46" t="inlineStr">
        <is>
          <t>CUST-053</t>
        </is>
      </c>
      <c r="D46" t="inlineStr">
        <is>
          <t>Greater Accra</t>
        </is>
      </c>
      <c r="E46" t="inlineStr">
        <is>
          <t>Small Appliances</t>
        </is>
      </c>
      <c r="F46" s="11" t="n">
        <v>1459.44</v>
      </c>
      <c r="G46" s="11" t="n">
        <v>895.3200000000001</v>
      </c>
      <c r="H46" s="11" t="n">
        <v>20</v>
      </c>
      <c r="I46" s="11" t="n">
        <v>25.39</v>
      </c>
      <c r="J46" t="inlineStr">
        <is>
          <t>Delivered</t>
        </is>
      </c>
      <c r="K46" t="inlineStr">
        <is>
          <t>Cash on Delivery</t>
        </is>
      </c>
      <c r="L46" t="n">
        <v>1</v>
      </c>
      <c r="M46" s="11" t="n">
        <v>0</v>
      </c>
      <c r="N46" t="inlineStr">
        <is>
          <t>Repeat</t>
        </is>
      </c>
      <c r="O46" t="inlineStr">
        <is>
          <t>2026-02</t>
        </is>
      </c>
      <c r="P46" s="11" t="n">
        <v>1459.44</v>
      </c>
      <c r="Q46" s="11" t="n">
        <v>564.12</v>
      </c>
      <c r="R46" s="11" t="n">
        <v>-5.39</v>
      </c>
      <c r="S46" s="11" t="n">
        <v>558.73</v>
      </c>
    </row>
    <row r="47">
      <c r="A47" t="inlineStr">
        <is>
          <t>ORD-1146</t>
        </is>
      </c>
      <c r="B47" s="10" t="n">
        <v>46059</v>
      </c>
      <c r="C47" t="inlineStr">
        <is>
          <t>CUST-038</t>
        </is>
      </c>
      <c r="D47" t="inlineStr">
        <is>
          <t>Northern</t>
        </is>
      </c>
      <c r="E47" t="inlineStr">
        <is>
          <t>Home &amp; Kitchen</t>
        </is>
      </c>
      <c r="F47" s="11" t="n">
        <v>418.89</v>
      </c>
      <c r="G47" s="11" t="n">
        <v>202.45</v>
      </c>
      <c r="H47" s="11" t="n">
        <v>25</v>
      </c>
      <c r="I47" s="11" t="n">
        <v>38.87</v>
      </c>
      <c r="J47" t="inlineStr">
        <is>
          <t>Delivered</t>
        </is>
      </c>
      <c r="K47" t="inlineStr">
        <is>
          <t>Cash on Delivery</t>
        </is>
      </c>
      <c r="L47" t="n">
        <v>2</v>
      </c>
      <c r="M47" s="11" t="n">
        <v>0</v>
      </c>
      <c r="N47" t="inlineStr">
        <is>
          <t>Repeat</t>
        </is>
      </c>
      <c r="O47" t="inlineStr">
        <is>
          <t>2026-02</t>
        </is>
      </c>
      <c r="P47" s="11" t="n">
        <v>418.89</v>
      </c>
      <c r="Q47" s="11" t="n">
        <v>216.44</v>
      </c>
      <c r="R47" s="11" t="n">
        <v>-13.87</v>
      </c>
      <c r="S47" s="11" t="n">
        <v>202.57</v>
      </c>
    </row>
    <row r="48">
      <c r="A48" t="inlineStr">
        <is>
          <t>ORD-1218</t>
        </is>
      </c>
      <c r="B48" s="10" t="n">
        <v>46059</v>
      </c>
      <c r="C48" t="inlineStr">
        <is>
          <t>CUST-060</t>
        </is>
      </c>
      <c r="D48" t="inlineStr">
        <is>
          <t>Ashanti</t>
        </is>
      </c>
      <c r="E48" t="inlineStr">
        <is>
          <t>Small Appliances</t>
        </is>
      </c>
      <c r="F48" s="11" t="n">
        <v>909.22</v>
      </c>
      <c r="G48" s="11" t="n">
        <v>703.92</v>
      </c>
      <c r="H48" s="11" t="n">
        <v>30</v>
      </c>
      <c r="I48" s="11" t="n">
        <v>40.3</v>
      </c>
      <c r="J48" t="inlineStr">
        <is>
          <t>Delivered</t>
        </is>
      </c>
      <c r="K48" t="inlineStr">
        <is>
          <t>Mobile Money</t>
        </is>
      </c>
      <c r="L48" t="n">
        <v>2</v>
      </c>
      <c r="M48" s="11" t="n">
        <v>0</v>
      </c>
      <c r="N48" t="inlineStr">
        <is>
          <t>One-time</t>
        </is>
      </c>
      <c r="O48" t="inlineStr">
        <is>
          <t>2026-02</t>
        </is>
      </c>
      <c r="P48" s="11" t="n">
        <v>909.22</v>
      </c>
      <c r="Q48" s="11" t="n">
        <v>205.3000000000001</v>
      </c>
      <c r="R48" s="11" t="n">
        <v>-10.3</v>
      </c>
      <c r="S48" s="11" t="n">
        <v>195</v>
      </c>
    </row>
    <row r="49">
      <c r="A49" t="inlineStr">
        <is>
          <t>ORD-1081</t>
        </is>
      </c>
      <c r="B49" s="10" t="n">
        <v>46060</v>
      </c>
      <c r="C49" t="inlineStr">
        <is>
          <t>CUST-032</t>
        </is>
      </c>
      <c r="D49" t="inlineStr">
        <is>
          <t>Central</t>
        </is>
      </c>
      <c r="E49" t="inlineStr">
        <is>
          <t>Personal Care</t>
        </is>
      </c>
      <c r="F49" s="11" t="n">
        <v>180.63</v>
      </c>
      <c r="G49" s="11" t="n">
        <v>98.02</v>
      </c>
      <c r="H49" s="11" t="n">
        <v>15</v>
      </c>
      <c r="I49" s="11" t="n">
        <v>23.75</v>
      </c>
      <c r="J49" t="inlineStr">
        <is>
          <t>Delivered</t>
        </is>
      </c>
      <c r="K49" t="inlineStr">
        <is>
          <t>Mobile Money</t>
        </is>
      </c>
      <c r="L49" t="n">
        <v>4</v>
      </c>
      <c r="M49" s="11" t="n">
        <v>0</v>
      </c>
      <c r="N49" t="inlineStr">
        <is>
          <t>Repeat</t>
        </is>
      </c>
      <c r="O49" t="inlineStr">
        <is>
          <t>2026-02</t>
        </is>
      </c>
      <c r="P49" s="11" t="n">
        <v>180.63</v>
      </c>
      <c r="Q49" s="11" t="n">
        <v>82.61</v>
      </c>
      <c r="R49" s="11" t="n">
        <v>-8.75</v>
      </c>
      <c r="S49" s="11" t="n">
        <v>73.86</v>
      </c>
    </row>
    <row r="50">
      <c r="A50" t="inlineStr">
        <is>
          <t>ORD-1184</t>
        </is>
      </c>
      <c r="B50" s="10" t="n">
        <v>46060</v>
      </c>
      <c r="C50" t="inlineStr">
        <is>
          <t>CUST-088</t>
        </is>
      </c>
      <c r="D50" t="inlineStr">
        <is>
          <t>Ashanti</t>
        </is>
      </c>
      <c r="E50" t="inlineStr">
        <is>
          <t>Electronics Accessories</t>
        </is>
      </c>
      <c r="F50" s="11" t="n">
        <v>549.51</v>
      </c>
      <c r="G50" s="11" t="n">
        <v>355.03</v>
      </c>
      <c r="H50" s="11" t="n">
        <v>15</v>
      </c>
      <c r="I50" s="11" t="n">
        <v>20.19</v>
      </c>
      <c r="J50" t="inlineStr">
        <is>
          <t>Delivered</t>
        </is>
      </c>
      <c r="K50" t="inlineStr">
        <is>
          <t>Mobile Money</t>
        </is>
      </c>
      <c r="L50" t="n">
        <v>5</v>
      </c>
      <c r="M50" s="11" t="n">
        <v>0</v>
      </c>
      <c r="N50" t="inlineStr">
        <is>
          <t>Repeat</t>
        </is>
      </c>
      <c r="O50" t="inlineStr">
        <is>
          <t>2026-02</t>
        </is>
      </c>
      <c r="P50" s="11" t="n">
        <v>549.51</v>
      </c>
      <c r="Q50" s="11" t="n">
        <v>194.48</v>
      </c>
      <c r="R50" s="11" t="n">
        <v>-5.19</v>
      </c>
      <c r="S50" s="11" t="n">
        <v>189.29</v>
      </c>
    </row>
    <row r="51">
      <c r="A51" t="inlineStr">
        <is>
          <t>ORD-1076</t>
        </is>
      </c>
      <c r="B51" s="10" t="n">
        <v>46061</v>
      </c>
      <c r="C51" t="inlineStr">
        <is>
          <t>CUST-064</t>
        </is>
      </c>
      <c r="D51" t="inlineStr">
        <is>
          <t>Central</t>
        </is>
      </c>
      <c r="E51" t="inlineStr">
        <is>
          <t>Small Appliances</t>
        </is>
      </c>
      <c r="F51" s="11" t="n">
        <v>320.43</v>
      </c>
      <c r="G51" s="11" t="n">
        <v>247.94</v>
      </c>
      <c r="H51" s="11" t="n">
        <v>20</v>
      </c>
      <c r="I51" s="11" t="n">
        <v>35.7</v>
      </c>
      <c r="J51" t="inlineStr">
        <is>
          <t>Failed</t>
        </is>
      </c>
      <c r="K51" t="inlineStr">
        <is>
          <t>Mobile Money</t>
        </is>
      </c>
      <c r="L51" t="n">
        <v>9</v>
      </c>
      <c r="M51" s="11" t="n">
        <v>8.26</v>
      </c>
      <c r="N51" t="inlineStr">
        <is>
          <t>One-time</t>
        </is>
      </c>
      <c r="O51" t="inlineStr">
        <is>
          <t>2026-02</t>
        </is>
      </c>
      <c r="P51" s="11" t="n">
        <v>0</v>
      </c>
      <c r="Q51" s="11" t="n">
        <v>0</v>
      </c>
      <c r="R51" s="11" t="n">
        <v>-15.7</v>
      </c>
      <c r="S51" s="11" t="n">
        <v>-23.96</v>
      </c>
    </row>
    <row r="52">
      <c r="A52" t="inlineStr">
        <is>
          <t>ORD-1144</t>
        </is>
      </c>
      <c r="B52" s="10" t="n">
        <v>46061</v>
      </c>
      <c r="C52" t="inlineStr">
        <is>
          <t>CUST-071</t>
        </is>
      </c>
      <c r="D52" t="inlineStr">
        <is>
          <t>Greater Accra</t>
        </is>
      </c>
      <c r="E52" t="inlineStr">
        <is>
          <t>Small Appliances</t>
        </is>
      </c>
      <c r="F52" s="11" t="n">
        <v>971.99</v>
      </c>
      <c r="G52" s="11" t="n">
        <v>657.25</v>
      </c>
      <c r="H52" s="11" t="n">
        <v>20</v>
      </c>
      <c r="I52" s="11" t="n">
        <v>24.38</v>
      </c>
      <c r="J52" t="inlineStr">
        <is>
          <t>Delivered</t>
        </is>
      </c>
      <c r="K52" t="inlineStr">
        <is>
          <t>Mobile Money</t>
        </is>
      </c>
      <c r="L52" t="n">
        <v>1</v>
      </c>
      <c r="M52" s="11" t="n">
        <v>0</v>
      </c>
      <c r="N52" t="inlineStr">
        <is>
          <t>Repeat</t>
        </is>
      </c>
      <c r="O52" t="inlineStr">
        <is>
          <t>2026-02</t>
        </is>
      </c>
      <c r="P52" s="11" t="n">
        <v>971.99</v>
      </c>
      <c r="Q52" s="11" t="n">
        <v>314.74</v>
      </c>
      <c r="R52" s="11" t="n">
        <v>-4.38</v>
      </c>
      <c r="S52" s="11" t="n">
        <v>310.36</v>
      </c>
    </row>
    <row r="53">
      <c r="A53" t="inlineStr">
        <is>
          <t>ORD-1107</t>
        </is>
      </c>
      <c r="B53" s="10" t="n">
        <v>46062</v>
      </c>
      <c r="C53" t="inlineStr">
        <is>
          <t>CUST-088</t>
        </is>
      </c>
      <c r="D53" t="inlineStr">
        <is>
          <t>Ashanti</t>
        </is>
      </c>
      <c r="E53" t="inlineStr">
        <is>
          <t>Small Appliances</t>
        </is>
      </c>
      <c r="F53" s="11" t="n">
        <v>240.63</v>
      </c>
      <c r="G53" s="11" t="n">
        <v>180.4</v>
      </c>
      <c r="H53" s="11" t="n">
        <v>10</v>
      </c>
      <c r="I53" s="11" t="n">
        <v>19.32</v>
      </c>
      <c r="J53" t="inlineStr">
        <is>
          <t>Delivered</t>
        </is>
      </c>
      <c r="K53" t="inlineStr">
        <is>
          <t>Mobile Money</t>
        </is>
      </c>
      <c r="L53" t="n">
        <v>4</v>
      </c>
      <c r="M53" s="11" t="n">
        <v>0</v>
      </c>
      <c r="N53" t="inlineStr">
        <is>
          <t>Repeat</t>
        </is>
      </c>
      <c r="O53" t="inlineStr">
        <is>
          <t>2026-02</t>
        </is>
      </c>
      <c r="P53" s="11" t="n">
        <v>240.63</v>
      </c>
      <c r="Q53" s="11" t="n">
        <v>60.22999999999999</v>
      </c>
      <c r="R53" s="11" t="n">
        <v>-9.32</v>
      </c>
      <c r="S53" s="11" t="n">
        <v>50.91</v>
      </c>
    </row>
    <row r="54">
      <c r="A54" t="inlineStr">
        <is>
          <t>ORD-1123</t>
        </is>
      </c>
      <c r="B54" s="10" t="n">
        <v>46062</v>
      </c>
      <c r="C54" t="inlineStr">
        <is>
          <t>CUST-084</t>
        </is>
      </c>
      <c r="D54" t="inlineStr">
        <is>
          <t>Eastern</t>
        </is>
      </c>
      <c r="E54" t="inlineStr">
        <is>
          <t>Electronics Accessories</t>
        </is>
      </c>
      <c r="F54" s="11" t="n">
        <v>860.0599999999999</v>
      </c>
      <c r="G54" s="11" t="n">
        <v>544.4400000000001</v>
      </c>
      <c r="H54" s="11" t="n">
        <v>25</v>
      </c>
      <c r="I54" s="11" t="n">
        <v>38.54</v>
      </c>
      <c r="J54" t="inlineStr">
        <is>
          <t>Delivered</t>
        </is>
      </c>
      <c r="K54" t="inlineStr">
        <is>
          <t>Mobile Money</t>
        </is>
      </c>
      <c r="L54" t="n">
        <v>1</v>
      </c>
      <c r="M54" s="11" t="n">
        <v>0</v>
      </c>
      <c r="N54" t="inlineStr">
        <is>
          <t>One-time</t>
        </is>
      </c>
      <c r="O54" t="inlineStr">
        <is>
          <t>2026-02</t>
        </is>
      </c>
      <c r="P54" s="11" t="n">
        <v>860.0599999999999</v>
      </c>
      <c r="Q54" s="11" t="n">
        <v>315.6199999999999</v>
      </c>
      <c r="R54" s="11" t="n">
        <v>-13.54</v>
      </c>
      <c r="S54" s="11" t="n">
        <v>302.08</v>
      </c>
    </row>
    <row r="55">
      <c r="A55" t="inlineStr">
        <is>
          <t>ORD-1169</t>
        </is>
      </c>
      <c r="B55" s="10" t="n">
        <v>46062</v>
      </c>
      <c r="C55" t="inlineStr">
        <is>
          <t>CUST-022</t>
        </is>
      </c>
      <c r="D55" t="inlineStr">
        <is>
          <t>Central</t>
        </is>
      </c>
      <c r="E55" t="inlineStr">
        <is>
          <t>Personal Care</t>
        </is>
      </c>
      <c r="F55" s="11" t="n">
        <v>223.17</v>
      </c>
      <c r="G55" s="11" t="n">
        <v>113.58</v>
      </c>
      <c r="H55" s="11" t="n">
        <v>30</v>
      </c>
      <c r="I55" s="11" t="n">
        <v>37.41</v>
      </c>
      <c r="J55" t="inlineStr">
        <is>
          <t>Failed</t>
        </is>
      </c>
      <c r="K55" t="inlineStr">
        <is>
          <t>Mobile Money</t>
        </is>
      </c>
      <c r="L55" t="n">
        <v>6</v>
      </c>
      <c r="M55" s="11" t="n">
        <v>19.07</v>
      </c>
      <c r="N55" t="inlineStr">
        <is>
          <t>Repeat</t>
        </is>
      </c>
      <c r="O55" t="inlineStr">
        <is>
          <t>2026-02</t>
        </is>
      </c>
      <c r="P55" s="11" t="n">
        <v>0</v>
      </c>
      <c r="Q55" s="11" t="n">
        <v>0</v>
      </c>
      <c r="R55" s="11" t="n">
        <v>-7.41</v>
      </c>
      <c r="S55" s="11" t="n">
        <v>-26.48</v>
      </c>
    </row>
    <row r="56">
      <c r="A56" t="inlineStr">
        <is>
          <t>ORD-1011</t>
        </is>
      </c>
      <c r="B56" s="10" t="n">
        <v>46063</v>
      </c>
      <c r="C56" t="inlineStr">
        <is>
          <t>CUST-057</t>
        </is>
      </c>
      <c r="D56" t="inlineStr">
        <is>
          <t>Greater Accra</t>
        </is>
      </c>
      <c r="E56" t="inlineStr">
        <is>
          <t>Stationery</t>
        </is>
      </c>
      <c r="F56" s="11" t="n">
        <v>131.08</v>
      </c>
      <c r="G56" s="11" t="n">
        <v>60.31</v>
      </c>
      <c r="H56" s="11" t="n">
        <v>30</v>
      </c>
      <c r="I56" s="11" t="n">
        <v>32.08</v>
      </c>
      <c r="J56" t="inlineStr">
        <is>
          <t>Delivered</t>
        </is>
      </c>
      <c r="K56" t="inlineStr">
        <is>
          <t>Mobile Money</t>
        </is>
      </c>
      <c r="L56" t="n">
        <v>2</v>
      </c>
      <c r="M56" s="11" t="n">
        <v>0</v>
      </c>
      <c r="N56" t="inlineStr">
        <is>
          <t>Repeat</t>
        </is>
      </c>
      <c r="O56" t="inlineStr">
        <is>
          <t>2026-02</t>
        </is>
      </c>
      <c r="P56" s="11" t="n">
        <v>131.08</v>
      </c>
      <c r="Q56" s="11" t="n">
        <v>70.77000000000001</v>
      </c>
      <c r="R56" s="11" t="n">
        <v>-2.08</v>
      </c>
      <c r="S56" s="11" t="n">
        <v>68.69</v>
      </c>
    </row>
    <row r="57">
      <c r="A57" t="inlineStr">
        <is>
          <t>ORD-1193</t>
        </is>
      </c>
      <c r="B57" s="10" t="n">
        <v>46063</v>
      </c>
      <c r="C57" t="inlineStr">
        <is>
          <t>CUST-053</t>
        </is>
      </c>
      <c r="D57" t="inlineStr">
        <is>
          <t>Greater Accra</t>
        </is>
      </c>
      <c r="E57" t="inlineStr">
        <is>
          <t>Personal Care</t>
        </is>
      </c>
      <c r="F57" s="11" t="n">
        <v>267.18</v>
      </c>
      <c r="G57" s="11" t="n">
        <v>129.75</v>
      </c>
      <c r="H57" s="11" t="n">
        <v>15</v>
      </c>
      <c r="I57" s="11" t="n">
        <v>24.56</v>
      </c>
      <c r="J57" t="inlineStr">
        <is>
          <t>Delivered</t>
        </is>
      </c>
      <c r="K57" t="inlineStr">
        <is>
          <t>Mobile Money</t>
        </is>
      </c>
      <c r="L57" t="n">
        <v>3</v>
      </c>
      <c r="M57" s="11" t="n">
        <v>0</v>
      </c>
      <c r="N57" t="inlineStr">
        <is>
          <t>Repeat</t>
        </is>
      </c>
      <c r="O57" t="inlineStr">
        <is>
          <t>2026-02</t>
        </is>
      </c>
      <c r="P57" s="11" t="n">
        <v>267.18</v>
      </c>
      <c r="Q57" s="11" t="n">
        <v>137.43</v>
      </c>
      <c r="R57" s="11" t="n">
        <v>-9.56</v>
      </c>
      <c r="S57" s="11" t="n">
        <v>127.87</v>
      </c>
    </row>
    <row r="58">
      <c r="A58" t="inlineStr">
        <is>
          <t>ORD-1244</t>
        </is>
      </c>
      <c r="B58" s="10" t="n">
        <v>46066</v>
      </c>
      <c r="C58" t="inlineStr">
        <is>
          <t>CUST-018</t>
        </is>
      </c>
      <c r="D58" t="inlineStr">
        <is>
          <t>Northern</t>
        </is>
      </c>
      <c r="E58" t="inlineStr">
        <is>
          <t>Home &amp; Kitchen</t>
        </is>
      </c>
      <c r="F58" s="11" t="n">
        <v>211.04</v>
      </c>
      <c r="G58" s="11" t="n">
        <v>98.40000000000001</v>
      </c>
      <c r="H58" s="11" t="n">
        <v>15</v>
      </c>
      <c r="I58" s="11" t="n">
        <v>31.35</v>
      </c>
      <c r="J58" t="inlineStr">
        <is>
          <t>Delivered</t>
        </is>
      </c>
      <c r="K58" t="inlineStr">
        <is>
          <t>Cash on Delivery</t>
        </is>
      </c>
      <c r="L58" t="n">
        <v>8</v>
      </c>
      <c r="M58" s="11" t="n">
        <v>0</v>
      </c>
      <c r="N58" t="inlineStr">
        <is>
          <t>Repeat</t>
        </is>
      </c>
      <c r="O58" t="inlineStr">
        <is>
          <t>2026-02</t>
        </is>
      </c>
      <c r="P58" s="11" t="n">
        <v>211.04</v>
      </c>
      <c r="Q58" s="11" t="n">
        <v>112.64</v>
      </c>
      <c r="R58" s="11" t="n">
        <v>-16.35</v>
      </c>
      <c r="S58" s="11" t="n">
        <v>96.29000000000001</v>
      </c>
    </row>
    <row r="59">
      <c r="A59" t="inlineStr">
        <is>
          <t>ORD-1018</t>
        </is>
      </c>
      <c r="B59" s="10" t="n">
        <v>46068</v>
      </c>
      <c r="C59" t="inlineStr">
        <is>
          <t>CUST-053</t>
        </is>
      </c>
      <c r="D59" t="inlineStr">
        <is>
          <t>Greater Accra</t>
        </is>
      </c>
      <c r="E59" t="inlineStr">
        <is>
          <t>Electronics Accessories</t>
        </is>
      </c>
      <c r="F59" s="11" t="n">
        <v>683.98</v>
      </c>
      <c r="G59" s="11" t="n">
        <v>396.57</v>
      </c>
      <c r="H59" s="11" t="n">
        <v>25</v>
      </c>
      <c r="I59" s="11" t="n">
        <v>35.02</v>
      </c>
      <c r="J59" t="inlineStr">
        <is>
          <t>Delivered</t>
        </is>
      </c>
      <c r="K59" t="inlineStr">
        <is>
          <t>Card</t>
        </is>
      </c>
      <c r="L59" t="n">
        <v>1</v>
      </c>
      <c r="M59" s="11" t="n">
        <v>0</v>
      </c>
      <c r="N59" t="inlineStr">
        <is>
          <t>Repeat</t>
        </is>
      </c>
      <c r="O59" t="inlineStr">
        <is>
          <t>2026-02</t>
        </is>
      </c>
      <c r="P59" s="11" t="n">
        <v>683.98</v>
      </c>
      <c r="Q59" s="11" t="n">
        <v>287.41</v>
      </c>
      <c r="R59" s="11" t="n">
        <v>-10.02</v>
      </c>
      <c r="S59" s="11" t="n">
        <v>277.39</v>
      </c>
    </row>
    <row r="60">
      <c r="A60" t="inlineStr">
        <is>
          <t>ORD-1054</t>
        </is>
      </c>
      <c r="B60" s="10" t="n">
        <v>46068</v>
      </c>
      <c r="C60" t="inlineStr">
        <is>
          <t>CUST-039</t>
        </is>
      </c>
      <c r="D60" t="inlineStr">
        <is>
          <t>Eastern</t>
        </is>
      </c>
      <c r="E60" t="inlineStr">
        <is>
          <t>Electronics Accessories</t>
        </is>
      </c>
      <c r="F60" s="11" t="n">
        <v>517.99</v>
      </c>
      <c r="G60" s="11" t="n">
        <v>294.93</v>
      </c>
      <c r="H60" s="11" t="n">
        <v>10</v>
      </c>
      <c r="I60" s="11" t="n">
        <v>21.53</v>
      </c>
      <c r="J60" t="inlineStr">
        <is>
          <t>Delivered</t>
        </is>
      </c>
      <c r="K60" t="inlineStr">
        <is>
          <t>Mobile Money</t>
        </is>
      </c>
      <c r="L60" t="n">
        <v>2</v>
      </c>
      <c r="M60" s="11" t="n">
        <v>0</v>
      </c>
      <c r="N60" t="inlineStr">
        <is>
          <t>Repeat</t>
        </is>
      </c>
      <c r="O60" t="inlineStr">
        <is>
          <t>2026-02</t>
        </is>
      </c>
      <c r="P60" s="11" t="n">
        <v>517.99</v>
      </c>
      <c r="Q60" s="11" t="n">
        <v>223.06</v>
      </c>
      <c r="R60" s="11" t="n">
        <v>-11.53</v>
      </c>
      <c r="S60" s="11" t="n">
        <v>211.53</v>
      </c>
    </row>
    <row r="61">
      <c r="A61" t="inlineStr">
        <is>
          <t>ORD-1195</t>
        </is>
      </c>
      <c r="B61" s="10" t="n">
        <v>46068</v>
      </c>
      <c r="C61" t="inlineStr">
        <is>
          <t>CUST-005</t>
        </is>
      </c>
      <c r="D61" t="inlineStr">
        <is>
          <t>Central</t>
        </is>
      </c>
      <c r="E61" t="inlineStr">
        <is>
          <t>Small Appliances</t>
        </is>
      </c>
      <c r="F61" s="11" t="n">
        <v>685.9400000000001</v>
      </c>
      <c r="G61" s="11" t="n">
        <v>472.73</v>
      </c>
      <c r="H61" s="11" t="n">
        <v>20</v>
      </c>
      <c r="I61" s="11" t="n">
        <v>35.77</v>
      </c>
      <c r="J61" t="inlineStr">
        <is>
          <t>Delivered</t>
        </is>
      </c>
      <c r="K61" t="inlineStr">
        <is>
          <t>Cash on Delivery</t>
        </is>
      </c>
      <c r="L61" t="n">
        <v>4</v>
      </c>
      <c r="M61" s="11" t="n">
        <v>0</v>
      </c>
      <c r="N61" t="inlineStr">
        <is>
          <t>Repeat</t>
        </is>
      </c>
      <c r="O61" t="inlineStr">
        <is>
          <t>2026-02</t>
        </is>
      </c>
      <c r="P61" s="11" t="n">
        <v>685.9400000000001</v>
      </c>
      <c r="Q61" s="11" t="n">
        <v>213.21</v>
      </c>
      <c r="R61" s="11" t="n">
        <v>-15.77</v>
      </c>
      <c r="S61" s="11" t="n">
        <v>197.44</v>
      </c>
    </row>
    <row r="62">
      <c r="A62" t="inlineStr">
        <is>
          <t>ORD-1231</t>
        </is>
      </c>
      <c r="B62" s="10" t="n">
        <v>46068</v>
      </c>
      <c r="C62" t="inlineStr">
        <is>
          <t>CUST-014</t>
        </is>
      </c>
      <c r="D62" t="inlineStr">
        <is>
          <t>Greater Accra</t>
        </is>
      </c>
      <c r="E62" t="inlineStr">
        <is>
          <t>Small Appliances</t>
        </is>
      </c>
      <c r="F62" s="11" t="n">
        <v>857.92</v>
      </c>
      <c r="G62" s="11" t="n">
        <v>551.96</v>
      </c>
      <c r="H62" s="11" t="n">
        <v>30</v>
      </c>
      <c r="I62" s="11" t="n">
        <v>37.26</v>
      </c>
      <c r="J62" t="inlineStr">
        <is>
          <t>Delivered</t>
        </is>
      </c>
      <c r="K62" t="inlineStr">
        <is>
          <t>Mobile Money</t>
        </is>
      </c>
      <c r="L62" t="n">
        <v>2</v>
      </c>
      <c r="M62" s="11" t="n">
        <v>0</v>
      </c>
      <c r="N62" t="inlineStr">
        <is>
          <t>Repeat</t>
        </is>
      </c>
      <c r="O62" t="inlineStr">
        <is>
          <t>2026-02</t>
        </is>
      </c>
      <c r="P62" s="11" t="n">
        <v>857.92</v>
      </c>
      <c r="Q62" s="11" t="n">
        <v>305.9599999999999</v>
      </c>
      <c r="R62" s="11" t="n">
        <v>-7.26</v>
      </c>
      <c r="S62" s="11" t="n">
        <v>298.7</v>
      </c>
    </row>
    <row r="63">
      <c r="A63" t="inlineStr">
        <is>
          <t>ORD-1053</t>
        </is>
      </c>
      <c r="B63" s="10" t="n">
        <v>46070</v>
      </c>
      <c r="C63" t="inlineStr">
        <is>
          <t>CUST-025</t>
        </is>
      </c>
      <c r="D63" t="inlineStr">
        <is>
          <t>Western</t>
        </is>
      </c>
      <c r="E63" t="inlineStr">
        <is>
          <t>Electronics Accessories</t>
        </is>
      </c>
      <c r="F63" s="11" t="n">
        <v>477.04</v>
      </c>
      <c r="G63" s="11" t="n">
        <v>310.28</v>
      </c>
      <c r="H63" s="11" t="n">
        <v>30</v>
      </c>
      <c r="I63" s="11" t="n">
        <v>44.97</v>
      </c>
      <c r="J63" t="inlineStr">
        <is>
          <t>Returned</t>
        </is>
      </c>
      <c r="K63" t="inlineStr">
        <is>
          <t>Card</t>
        </is>
      </c>
      <c r="L63" t="n">
        <v>3</v>
      </c>
      <c r="M63" s="11" t="n">
        <v>11.87</v>
      </c>
      <c r="N63" t="inlineStr">
        <is>
          <t>Repeat</t>
        </is>
      </c>
      <c r="O63" t="inlineStr">
        <is>
          <t>2026-02</t>
        </is>
      </c>
      <c r="P63" s="11" t="n">
        <v>0</v>
      </c>
      <c r="Q63" s="11" t="n">
        <v>0</v>
      </c>
      <c r="R63" s="11" t="n">
        <v>-14.97</v>
      </c>
      <c r="S63" s="11" t="n">
        <v>-26.84</v>
      </c>
    </row>
    <row r="64">
      <c r="A64" t="inlineStr">
        <is>
          <t>ORD-1013</t>
        </is>
      </c>
      <c r="B64" s="10" t="n">
        <v>46076</v>
      </c>
      <c r="C64" t="inlineStr">
        <is>
          <t>CUST-044</t>
        </is>
      </c>
      <c r="D64" t="inlineStr">
        <is>
          <t>Greater Accra</t>
        </is>
      </c>
      <c r="E64" t="inlineStr">
        <is>
          <t>Electronics Accessories</t>
        </is>
      </c>
      <c r="F64" s="11" t="n">
        <v>600.08</v>
      </c>
      <c r="G64" s="11" t="n">
        <v>340.56</v>
      </c>
      <c r="H64" s="11" t="n">
        <v>25</v>
      </c>
      <c r="I64" s="11" t="n">
        <v>29.51</v>
      </c>
      <c r="J64" t="inlineStr">
        <is>
          <t>Failed</t>
        </is>
      </c>
      <c r="K64" t="inlineStr">
        <is>
          <t>Mobile Money</t>
        </is>
      </c>
      <c r="L64" t="n">
        <v>8</v>
      </c>
      <c r="M64" s="11" t="n">
        <v>22.1</v>
      </c>
      <c r="N64" t="inlineStr">
        <is>
          <t>Repeat</t>
        </is>
      </c>
      <c r="O64" t="inlineStr">
        <is>
          <t>2026-02</t>
        </is>
      </c>
      <c r="P64" s="11" t="n">
        <v>0</v>
      </c>
      <c r="Q64" s="11" t="n">
        <v>0</v>
      </c>
      <c r="R64" s="11" t="n">
        <v>-4.51</v>
      </c>
      <c r="S64" s="11" t="n">
        <v>-26.61</v>
      </c>
    </row>
    <row r="65">
      <c r="A65" t="inlineStr">
        <is>
          <t>ORD-1236</t>
        </is>
      </c>
      <c r="B65" s="10" t="n">
        <v>46076</v>
      </c>
      <c r="C65" t="inlineStr">
        <is>
          <t>CUST-076</t>
        </is>
      </c>
      <c r="D65" t="inlineStr">
        <is>
          <t>Ashanti</t>
        </is>
      </c>
      <c r="E65" t="inlineStr">
        <is>
          <t>Electronics Accessories</t>
        </is>
      </c>
      <c r="F65" s="11" t="n">
        <v>752.97</v>
      </c>
      <c r="G65" s="11" t="n">
        <v>502.81</v>
      </c>
      <c r="H65" s="11" t="n">
        <v>10</v>
      </c>
      <c r="I65" s="11" t="n">
        <v>17.99</v>
      </c>
      <c r="J65" t="inlineStr">
        <is>
          <t>Delivered</t>
        </is>
      </c>
      <c r="K65" t="inlineStr">
        <is>
          <t>Cash on Delivery</t>
        </is>
      </c>
      <c r="L65" t="n">
        <v>1</v>
      </c>
      <c r="M65" s="11" t="n">
        <v>0</v>
      </c>
      <c r="N65" t="inlineStr">
        <is>
          <t>Repeat</t>
        </is>
      </c>
      <c r="O65" t="inlineStr">
        <is>
          <t>2026-02</t>
        </is>
      </c>
      <c r="P65" s="11" t="n">
        <v>752.97</v>
      </c>
      <c r="Q65" s="11" t="n">
        <v>250.16</v>
      </c>
      <c r="R65" s="11" t="n">
        <v>-7.99</v>
      </c>
      <c r="S65" s="11" t="n">
        <v>242.17</v>
      </c>
    </row>
    <row r="66">
      <c r="A66" t="inlineStr">
        <is>
          <t>ORD-1059</t>
        </is>
      </c>
      <c r="B66" s="10" t="n">
        <v>46077</v>
      </c>
      <c r="C66" t="inlineStr">
        <is>
          <t>CUST-034</t>
        </is>
      </c>
      <c r="D66" t="inlineStr">
        <is>
          <t>Western</t>
        </is>
      </c>
      <c r="E66" t="inlineStr">
        <is>
          <t>Personal Care</t>
        </is>
      </c>
      <c r="F66" s="11" t="n">
        <v>68.19</v>
      </c>
      <c r="G66" s="11" t="n">
        <v>29.41</v>
      </c>
      <c r="H66" s="11" t="n">
        <v>10</v>
      </c>
      <c r="I66" s="11" t="n">
        <v>20.57</v>
      </c>
      <c r="J66" t="inlineStr">
        <is>
          <t>Delivered</t>
        </is>
      </c>
      <c r="K66" t="inlineStr">
        <is>
          <t>Cash on Delivery</t>
        </is>
      </c>
      <c r="L66" t="n">
        <v>3</v>
      </c>
      <c r="M66" s="11" t="n">
        <v>0</v>
      </c>
      <c r="N66" t="inlineStr">
        <is>
          <t>One-time</t>
        </is>
      </c>
      <c r="O66" t="inlineStr">
        <is>
          <t>2026-02</t>
        </is>
      </c>
      <c r="P66" s="11" t="n">
        <v>68.19</v>
      </c>
      <c r="Q66" s="11" t="n">
        <v>38.78</v>
      </c>
      <c r="R66" s="11" t="n">
        <v>-10.57</v>
      </c>
      <c r="S66" s="11" t="n">
        <v>28.21</v>
      </c>
    </row>
    <row r="67">
      <c r="A67" t="inlineStr">
        <is>
          <t>ORD-1141</t>
        </is>
      </c>
      <c r="B67" s="10" t="n">
        <v>46079</v>
      </c>
      <c r="C67" t="inlineStr">
        <is>
          <t>CUST-058</t>
        </is>
      </c>
      <c r="D67" t="inlineStr">
        <is>
          <t>Central</t>
        </is>
      </c>
      <c r="E67" t="inlineStr">
        <is>
          <t>Small Appliances</t>
        </is>
      </c>
      <c r="F67" s="11" t="n">
        <v>1406.14</v>
      </c>
      <c r="G67" s="11" t="n">
        <v>948.7</v>
      </c>
      <c r="H67" s="11" t="n">
        <v>25</v>
      </c>
      <c r="I67" s="11" t="n">
        <v>37.02</v>
      </c>
      <c r="J67" t="inlineStr">
        <is>
          <t>Delivered</t>
        </is>
      </c>
      <c r="K67" t="inlineStr">
        <is>
          <t>Bank Transfer</t>
        </is>
      </c>
      <c r="L67" t="n">
        <v>4</v>
      </c>
      <c r="M67" s="11" t="n">
        <v>0</v>
      </c>
      <c r="N67" t="inlineStr">
        <is>
          <t>Repeat</t>
        </is>
      </c>
      <c r="O67" t="inlineStr">
        <is>
          <t>2026-02</t>
        </is>
      </c>
      <c r="P67" s="11" t="n">
        <v>1406.14</v>
      </c>
      <c r="Q67" s="11" t="n">
        <v>457.4400000000001</v>
      </c>
      <c r="R67" s="11" t="n">
        <v>-12.02</v>
      </c>
      <c r="S67" s="11" t="n">
        <v>445.42</v>
      </c>
    </row>
    <row r="68">
      <c r="A68" t="inlineStr">
        <is>
          <t>ORD-1106</t>
        </is>
      </c>
      <c r="B68" s="10" t="n">
        <v>46081</v>
      </c>
      <c r="C68" t="inlineStr">
        <is>
          <t>CUST-053</t>
        </is>
      </c>
      <c r="D68" t="inlineStr">
        <is>
          <t>Greater Accra</t>
        </is>
      </c>
      <c r="E68" t="inlineStr">
        <is>
          <t>Home &amp; Kitchen</t>
        </is>
      </c>
      <c r="F68" s="11" t="n">
        <v>322.1</v>
      </c>
      <c r="G68" s="11" t="n">
        <v>165.84</v>
      </c>
      <c r="H68" s="11" t="n">
        <v>10</v>
      </c>
      <c r="I68" s="11" t="n">
        <v>15.13</v>
      </c>
      <c r="J68" t="inlineStr">
        <is>
          <t>Delivered</t>
        </is>
      </c>
      <c r="K68" t="inlineStr">
        <is>
          <t>Mobile Money</t>
        </is>
      </c>
      <c r="L68" t="n">
        <v>1</v>
      </c>
      <c r="M68" s="11" t="n">
        <v>0</v>
      </c>
      <c r="N68" t="inlineStr">
        <is>
          <t>Repeat</t>
        </is>
      </c>
      <c r="O68" t="inlineStr">
        <is>
          <t>2026-02</t>
        </is>
      </c>
      <c r="P68" s="11" t="n">
        <v>322.1</v>
      </c>
      <c r="Q68" s="11" t="n">
        <v>156.26</v>
      </c>
      <c r="R68" s="11" t="n">
        <v>-5.13</v>
      </c>
      <c r="S68" s="11" t="n">
        <v>151.13</v>
      </c>
    </row>
    <row r="69">
      <c r="A69" t="inlineStr">
        <is>
          <t>ORD-1041</t>
        </is>
      </c>
      <c r="B69" s="10" t="n">
        <v>46084</v>
      </c>
      <c r="C69" t="inlineStr">
        <is>
          <t>CUST-017</t>
        </is>
      </c>
      <c r="D69" t="inlineStr">
        <is>
          <t>Greater Accra</t>
        </is>
      </c>
      <c r="E69" t="inlineStr">
        <is>
          <t>Home &amp; Kitchen</t>
        </is>
      </c>
      <c r="F69" s="11" t="n">
        <v>118.63</v>
      </c>
      <c r="G69" s="11" t="n">
        <v>72.44</v>
      </c>
      <c r="H69" s="11" t="n">
        <v>25</v>
      </c>
      <c r="I69" s="11" t="n">
        <v>33.99</v>
      </c>
      <c r="J69" t="inlineStr">
        <is>
          <t>Delivered</t>
        </is>
      </c>
      <c r="K69" t="inlineStr">
        <is>
          <t>Mobile Money</t>
        </is>
      </c>
      <c r="L69" t="n">
        <v>1</v>
      </c>
      <c r="M69" s="11" t="n">
        <v>0</v>
      </c>
      <c r="N69" t="inlineStr">
        <is>
          <t>Repeat</t>
        </is>
      </c>
      <c r="O69" t="inlineStr">
        <is>
          <t>2026-03</t>
        </is>
      </c>
      <c r="P69" s="11" t="n">
        <v>118.63</v>
      </c>
      <c r="Q69" s="11" t="n">
        <v>46.19</v>
      </c>
      <c r="R69" s="11" t="n">
        <v>-8.99</v>
      </c>
      <c r="S69" s="11" t="n">
        <v>37.2</v>
      </c>
    </row>
    <row r="70">
      <c r="A70" t="inlineStr">
        <is>
          <t>ORD-1050</t>
        </is>
      </c>
      <c r="B70" s="10" t="n">
        <v>46084</v>
      </c>
      <c r="C70" t="inlineStr">
        <is>
          <t>CUST-089</t>
        </is>
      </c>
      <c r="D70" t="inlineStr">
        <is>
          <t>Greater Accra</t>
        </is>
      </c>
      <c r="E70" t="inlineStr">
        <is>
          <t>Home &amp; Kitchen</t>
        </is>
      </c>
      <c r="F70" s="11" t="n">
        <v>477.11</v>
      </c>
      <c r="G70" s="11" t="n">
        <v>248.42</v>
      </c>
      <c r="H70" s="11" t="n">
        <v>10</v>
      </c>
      <c r="I70" s="11" t="n">
        <v>12.93</v>
      </c>
      <c r="J70" t="inlineStr">
        <is>
          <t>Delivered</t>
        </is>
      </c>
      <c r="K70" t="inlineStr">
        <is>
          <t>Cash on Delivery</t>
        </is>
      </c>
      <c r="L70" t="n">
        <v>2</v>
      </c>
      <c r="M70" s="11" t="n">
        <v>0</v>
      </c>
      <c r="N70" t="inlineStr">
        <is>
          <t>Repeat</t>
        </is>
      </c>
      <c r="O70" t="inlineStr">
        <is>
          <t>2026-03</t>
        </is>
      </c>
      <c r="P70" s="11" t="n">
        <v>477.11</v>
      </c>
      <c r="Q70" s="11" t="n">
        <v>228.69</v>
      </c>
      <c r="R70" s="11" t="n">
        <v>-2.93</v>
      </c>
      <c r="S70" s="11" t="n">
        <v>225.76</v>
      </c>
    </row>
    <row r="71">
      <c r="A71" t="inlineStr">
        <is>
          <t>ORD-1057</t>
        </is>
      </c>
      <c r="B71" s="10" t="n">
        <v>46086</v>
      </c>
      <c r="C71" t="inlineStr">
        <is>
          <t>CUST-016</t>
        </is>
      </c>
      <c r="D71" t="inlineStr">
        <is>
          <t>Northern</t>
        </is>
      </c>
      <c r="E71" t="inlineStr">
        <is>
          <t>Personal Care</t>
        </is>
      </c>
      <c r="F71" s="11" t="n">
        <v>139.45</v>
      </c>
      <c r="G71" s="11" t="n">
        <v>70.73999999999999</v>
      </c>
      <c r="H71" s="11" t="n">
        <v>30</v>
      </c>
      <c r="I71" s="11" t="n">
        <v>44.26</v>
      </c>
      <c r="J71" t="inlineStr">
        <is>
          <t>Delivered</t>
        </is>
      </c>
      <c r="K71" t="inlineStr">
        <is>
          <t>Mobile Money</t>
        </is>
      </c>
      <c r="L71" t="n">
        <v>2</v>
      </c>
      <c r="M71" s="11" t="n">
        <v>0</v>
      </c>
      <c r="N71" t="inlineStr">
        <is>
          <t>Repeat</t>
        </is>
      </c>
      <c r="O71" t="inlineStr">
        <is>
          <t>2026-03</t>
        </is>
      </c>
      <c r="P71" s="11" t="n">
        <v>139.45</v>
      </c>
      <c r="Q71" s="11" t="n">
        <v>68.70999999999999</v>
      </c>
      <c r="R71" s="11" t="n">
        <v>-14.26</v>
      </c>
      <c r="S71" s="11" t="n">
        <v>54.45</v>
      </c>
    </row>
    <row r="72">
      <c r="A72" t="inlineStr">
        <is>
          <t>ORD-1019</t>
        </is>
      </c>
      <c r="B72" s="10" t="n">
        <v>46091</v>
      </c>
      <c r="C72" t="inlineStr">
        <is>
          <t>CUST-021</t>
        </is>
      </c>
      <c r="D72" t="inlineStr">
        <is>
          <t>Eastern</t>
        </is>
      </c>
      <c r="E72" t="inlineStr">
        <is>
          <t>Stationery</t>
        </is>
      </c>
      <c r="F72" s="11" t="n">
        <v>32.84</v>
      </c>
      <c r="G72" s="11" t="n">
        <v>16.65</v>
      </c>
      <c r="H72" s="11" t="n">
        <v>25</v>
      </c>
      <c r="I72" s="11" t="n">
        <v>33.22</v>
      </c>
      <c r="J72" t="inlineStr">
        <is>
          <t>Delivered</t>
        </is>
      </c>
      <c r="K72" t="inlineStr">
        <is>
          <t>Mobile Money</t>
        </is>
      </c>
      <c r="L72" t="n">
        <v>2</v>
      </c>
      <c r="M72" s="11" t="n">
        <v>0</v>
      </c>
      <c r="N72" t="inlineStr">
        <is>
          <t>Repeat</t>
        </is>
      </c>
      <c r="O72" t="inlineStr">
        <is>
          <t>2026-03</t>
        </is>
      </c>
      <c r="P72" s="11" t="n">
        <v>32.84</v>
      </c>
      <c r="Q72" s="11" t="n">
        <v>16.19</v>
      </c>
      <c r="R72" s="11" t="n">
        <v>-8.220000000000001</v>
      </c>
      <c r="S72" s="11" t="n">
        <v>7.97</v>
      </c>
    </row>
    <row r="73">
      <c r="A73" t="inlineStr">
        <is>
          <t>ORD-1065</t>
        </is>
      </c>
      <c r="B73" s="10" t="n">
        <v>46091</v>
      </c>
      <c r="C73" t="inlineStr">
        <is>
          <t>CUST-074</t>
        </is>
      </c>
      <c r="D73" t="inlineStr">
        <is>
          <t>Ashanti</t>
        </is>
      </c>
      <c r="E73" t="inlineStr">
        <is>
          <t>Electronics Accessories</t>
        </is>
      </c>
      <c r="F73" s="11" t="n">
        <v>700.14</v>
      </c>
      <c r="G73" s="11" t="n">
        <v>423.37</v>
      </c>
      <c r="H73" s="11" t="n">
        <v>25</v>
      </c>
      <c r="I73" s="11" t="n">
        <v>39.16</v>
      </c>
      <c r="J73" t="inlineStr">
        <is>
          <t>Delivered</t>
        </is>
      </c>
      <c r="K73" t="inlineStr">
        <is>
          <t>Cash on Delivery</t>
        </is>
      </c>
      <c r="L73" t="n">
        <v>2</v>
      </c>
      <c r="M73" s="11" t="n">
        <v>0</v>
      </c>
      <c r="N73" t="inlineStr">
        <is>
          <t>Repeat</t>
        </is>
      </c>
      <c r="O73" t="inlineStr">
        <is>
          <t>2026-03</t>
        </is>
      </c>
      <c r="P73" s="11" t="n">
        <v>700.14</v>
      </c>
      <c r="Q73" s="11" t="n">
        <v>276.77</v>
      </c>
      <c r="R73" s="11" t="n">
        <v>-14.16</v>
      </c>
      <c r="S73" s="11" t="n">
        <v>262.61</v>
      </c>
    </row>
    <row r="74">
      <c r="A74" t="inlineStr">
        <is>
          <t>ORD-1200</t>
        </is>
      </c>
      <c r="B74" s="10" t="n">
        <v>46091</v>
      </c>
      <c r="C74" t="inlineStr">
        <is>
          <t>CUST-043</t>
        </is>
      </c>
      <c r="D74" t="inlineStr">
        <is>
          <t>Greater Accra</t>
        </is>
      </c>
      <c r="E74" t="inlineStr">
        <is>
          <t>Home &amp; Kitchen</t>
        </is>
      </c>
      <c r="F74" s="11" t="n">
        <v>483.73</v>
      </c>
      <c r="G74" s="11" t="n">
        <v>213.84</v>
      </c>
      <c r="H74" s="11" t="n">
        <v>20</v>
      </c>
      <c r="I74" s="11" t="n">
        <v>28.93</v>
      </c>
      <c r="J74" t="inlineStr">
        <is>
          <t>Delivered</t>
        </is>
      </c>
      <c r="K74" t="inlineStr">
        <is>
          <t>Mobile Money</t>
        </is>
      </c>
      <c r="L74" t="n">
        <v>1</v>
      </c>
      <c r="M74" s="11" t="n">
        <v>0</v>
      </c>
      <c r="N74" t="inlineStr">
        <is>
          <t>Repeat</t>
        </is>
      </c>
      <c r="O74" t="inlineStr">
        <is>
          <t>2026-03</t>
        </is>
      </c>
      <c r="P74" s="11" t="n">
        <v>483.73</v>
      </c>
      <c r="Q74" s="11" t="n">
        <v>269.89</v>
      </c>
      <c r="R74" s="11" t="n">
        <v>-8.93</v>
      </c>
      <c r="S74" s="11" t="n">
        <v>260.96</v>
      </c>
    </row>
    <row r="75">
      <c r="A75" t="inlineStr">
        <is>
          <t>ORD-1037</t>
        </is>
      </c>
      <c r="B75" s="10" t="n">
        <v>46092</v>
      </c>
      <c r="C75" t="inlineStr">
        <is>
          <t>CUST-056</t>
        </is>
      </c>
      <c r="D75" t="inlineStr">
        <is>
          <t>Northern</t>
        </is>
      </c>
      <c r="E75" t="inlineStr">
        <is>
          <t>Home &amp; Kitchen</t>
        </is>
      </c>
      <c r="F75" s="11" t="n">
        <v>283.31</v>
      </c>
      <c r="G75" s="11" t="n">
        <v>158.77</v>
      </c>
      <c r="H75" s="11" t="n">
        <v>25</v>
      </c>
      <c r="I75" s="11" t="n">
        <v>44.24</v>
      </c>
      <c r="J75" t="inlineStr">
        <is>
          <t>Failed</t>
        </is>
      </c>
      <c r="K75" t="inlineStr">
        <is>
          <t>Card</t>
        </is>
      </c>
      <c r="L75" t="n">
        <v>2</v>
      </c>
      <c r="M75" s="11" t="n">
        <v>23.42</v>
      </c>
      <c r="N75" t="inlineStr">
        <is>
          <t>Repeat</t>
        </is>
      </c>
      <c r="O75" t="inlineStr">
        <is>
          <t>2026-03</t>
        </is>
      </c>
      <c r="P75" s="11" t="n">
        <v>0</v>
      </c>
      <c r="Q75" s="11" t="n">
        <v>0</v>
      </c>
      <c r="R75" s="11" t="n">
        <v>-19.24</v>
      </c>
      <c r="S75" s="11" t="n">
        <v>-42.66</v>
      </c>
    </row>
    <row r="76">
      <c r="A76" t="inlineStr">
        <is>
          <t>ORD-1197</t>
        </is>
      </c>
      <c r="B76" s="10" t="n">
        <v>46092</v>
      </c>
      <c r="C76" t="inlineStr">
        <is>
          <t>CUST-025</t>
        </is>
      </c>
      <c r="D76" t="inlineStr">
        <is>
          <t>Western</t>
        </is>
      </c>
      <c r="E76" t="inlineStr">
        <is>
          <t>Stationery</t>
        </is>
      </c>
      <c r="F76" s="11" t="n">
        <v>69.56</v>
      </c>
      <c r="G76" s="11" t="n">
        <v>33.5</v>
      </c>
      <c r="H76" s="11" t="n">
        <v>20</v>
      </c>
      <c r="I76" s="11" t="n">
        <v>36.19</v>
      </c>
      <c r="J76" t="inlineStr">
        <is>
          <t>Delivered</t>
        </is>
      </c>
      <c r="K76" t="inlineStr">
        <is>
          <t>Mobile Money</t>
        </is>
      </c>
      <c r="L76" t="n">
        <v>3</v>
      </c>
      <c r="M76" s="11" t="n">
        <v>0</v>
      </c>
      <c r="N76" t="inlineStr">
        <is>
          <t>Repeat</t>
        </is>
      </c>
      <c r="O76" t="inlineStr">
        <is>
          <t>2026-03</t>
        </is>
      </c>
      <c r="P76" s="11" t="n">
        <v>69.56</v>
      </c>
      <c r="Q76" s="11" t="n">
        <v>36.06</v>
      </c>
      <c r="R76" s="11" t="n">
        <v>-16.19</v>
      </c>
      <c r="S76" s="11" t="n">
        <v>19.87</v>
      </c>
    </row>
    <row r="77">
      <c r="A77" t="inlineStr">
        <is>
          <t>ORD-1239</t>
        </is>
      </c>
      <c r="B77" s="10" t="n">
        <v>46092</v>
      </c>
      <c r="C77" t="inlineStr">
        <is>
          <t>CUST-058</t>
        </is>
      </c>
      <c r="D77" t="inlineStr">
        <is>
          <t>Central</t>
        </is>
      </c>
      <c r="E77" t="inlineStr">
        <is>
          <t>Personal Care</t>
        </is>
      </c>
      <c r="F77" s="11" t="n">
        <v>122.85</v>
      </c>
      <c r="G77" s="11" t="n">
        <v>69.95</v>
      </c>
      <c r="H77" s="11" t="n">
        <v>25</v>
      </c>
      <c r="I77" s="11" t="n">
        <v>33.86</v>
      </c>
      <c r="J77" t="inlineStr">
        <is>
          <t>Delivered</t>
        </is>
      </c>
      <c r="K77" t="inlineStr">
        <is>
          <t>Mobile Money</t>
        </is>
      </c>
      <c r="L77" t="n">
        <v>3</v>
      </c>
      <c r="M77" s="11" t="n">
        <v>0</v>
      </c>
      <c r="N77" t="inlineStr">
        <is>
          <t>Repeat</t>
        </is>
      </c>
      <c r="O77" t="inlineStr">
        <is>
          <t>2026-03</t>
        </is>
      </c>
      <c r="P77" s="11" t="n">
        <v>122.85</v>
      </c>
      <c r="Q77" s="11" t="n">
        <v>52.89999999999999</v>
      </c>
      <c r="R77" s="11" t="n">
        <v>-8.859999999999999</v>
      </c>
      <c r="S77" s="11" t="n">
        <v>44.04</v>
      </c>
    </row>
    <row r="78">
      <c r="A78" t="inlineStr">
        <is>
          <t>ORD-1049</t>
        </is>
      </c>
      <c r="B78" s="10" t="n">
        <v>46094</v>
      </c>
      <c r="C78" t="inlineStr">
        <is>
          <t>CUST-077</t>
        </is>
      </c>
      <c r="D78" t="inlineStr">
        <is>
          <t>Western</t>
        </is>
      </c>
      <c r="E78" t="inlineStr">
        <is>
          <t>Stationery</t>
        </is>
      </c>
      <c r="F78" s="11" t="n">
        <v>60.58</v>
      </c>
      <c r="G78" s="11" t="n">
        <v>21.31</v>
      </c>
      <c r="H78" s="11" t="n">
        <v>15</v>
      </c>
      <c r="I78" s="11" t="n">
        <v>24.86</v>
      </c>
      <c r="J78" t="inlineStr">
        <is>
          <t>Delivered</t>
        </is>
      </c>
      <c r="K78" t="inlineStr">
        <is>
          <t>Cash on Delivery</t>
        </is>
      </c>
      <c r="L78" t="n">
        <v>2</v>
      </c>
      <c r="M78" s="11" t="n">
        <v>0</v>
      </c>
      <c r="N78" t="inlineStr">
        <is>
          <t>Repeat</t>
        </is>
      </c>
      <c r="O78" t="inlineStr">
        <is>
          <t>2026-03</t>
        </is>
      </c>
      <c r="P78" s="11" t="n">
        <v>60.58</v>
      </c>
      <c r="Q78" s="11" t="n">
        <v>39.27</v>
      </c>
      <c r="R78" s="11" t="n">
        <v>-9.859999999999999</v>
      </c>
      <c r="S78" s="11" t="n">
        <v>29.41</v>
      </c>
    </row>
    <row r="79">
      <c r="A79" t="inlineStr">
        <is>
          <t>ORD-1096</t>
        </is>
      </c>
      <c r="B79" s="10" t="n">
        <v>46094</v>
      </c>
      <c r="C79" t="inlineStr">
        <is>
          <t>CUST-005</t>
        </is>
      </c>
      <c r="D79" t="inlineStr">
        <is>
          <t>Central</t>
        </is>
      </c>
      <c r="E79" t="inlineStr">
        <is>
          <t>Stationery</t>
        </is>
      </c>
      <c r="F79" s="11" t="n">
        <v>50.85</v>
      </c>
      <c r="G79" s="11" t="n">
        <v>21.87</v>
      </c>
      <c r="H79" s="11" t="n">
        <v>15</v>
      </c>
      <c r="I79" s="11" t="n">
        <v>30.55</v>
      </c>
      <c r="J79" t="inlineStr">
        <is>
          <t>Delivered</t>
        </is>
      </c>
      <c r="K79" t="inlineStr">
        <is>
          <t>Cash on Delivery</t>
        </is>
      </c>
      <c r="L79" t="n">
        <v>2</v>
      </c>
      <c r="M79" s="11" t="n">
        <v>0</v>
      </c>
      <c r="N79" t="inlineStr">
        <is>
          <t>Repeat</t>
        </is>
      </c>
      <c r="O79" t="inlineStr">
        <is>
          <t>2026-03</t>
        </is>
      </c>
      <c r="P79" s="11" t="n">
        <v>50.85</v>
      </c>
      <c r="Q79" s="11" t="n">
        <v>28.98</v>
      </c>
      <c r="R79" s="11" t="n">
        <v>-15.55</v>
      </c>
      <c r="S79" s="11" t="n">
        <v>13.43</v>
      </c>
    </row>
    <row r="80">
      <c r="A80" t="inlineStr">
        <is>
          <t>ORD-1152</t>
        </is>
      </c>
      <c r="B80" s="10" t="n">
        <v>46096</v>
      </c>
      <c r="C80" t="inlineStr">
        <is>
          <t>CUST-046</t>
        </is>
      </c>
      <c r="D80" t="inlineStr">
        <is>
          <t>Greater Accra</t>
        </is>
      </c>
      <c r="E80" t="inlineStr">
        <is>
          <t>Small Appliances</t>
        </is>
      </c>
      <c r="F80" s="11" t="n">
        <v>214.54</v>
      </c>
      <c r="G80" s="11" t="n">
        <v>154.05</v>
      </c>
      <c r="H80" s="11" t="n">
        <v>20</v>
      </c>
      <c r="I80" s="11" t="n">
        <v>23.24</v>
      </c>
      <c r="J80" t="inlineStr">
        <is>
          <t>Delivered</t>
        </is>
      </c>
      <c r="K80" t="inlineStr">
        <is>
          <t>Card</t>
        </is>
      </c>
      <c r="L80" t="n">
        <v>1</v>
      </c>
      <c r="M80" s="11" t="n">
        <v>0</v>
      </c>
      <c r="N80" t="inlineStr">
        <is>
          <t>Repeat</t>
        </is>
      </c>
      <c r="O80" t="inlineStr">
        <is>
          <t>2026-03</t>
        </is>
      </c>
      <c r="P80" s="11" t="n">
        <v>214.54</v>
      </c>
      <c r="Q80" s="11" t="n">
        <v>60.48999999999998</v>
      </c>
      <c r="R80" s="11" t="n">
        <v>-3.24</v>
      </c>
      <c r="S80" s="11" t="n">
        <v>57.25</v>
      </c>
    </row>
    <row r="81">
      <c r="A81" t="inlineStr">
        <is>
          <t>ORD-1190</t>
        </is>
      </c>
      <c r="B81" s="10" t="n">
        <v>46096</v>
      </c>
      <c r="C81" t="inlineStr">
        <is>
          <t>CUST-011</t>
        </is>
      </c>
      <c r="D81" t="inlineStr">
        <is>
          <t>Greater Accra</t>
        </is>
      </c>
      <c r="E81" t="inlineStr">
        <is>
          <t>Home &amp; Kitchen</t>
        </is>
      </c>
      <c r="F81" s="11" t="n">
        <v>315.43</v>
      </c>
      <c r="G81" s="11" t="n">
        <v>153.35</v>
      </c>
      <c r="H81" s="11" t="n">
        <v>25</v>
      </c>
      <c r="I81" s="11" t="n">
        <v>29.14</v>
      </c>
      <c r="J81" t="inlineStr">
        <is>
          <t>Delivered</t>
        </is>
      </c>
      <c r="K81" t="inlineStr">
        <is>
          <t>Mobile Money</t>
        </is>
      </c>
      <c r="L81" t="n">
        <v>2</v>
      </c>
      <c r="M81" s="11" t="n">
        <v>0</v>
      </c>
      <c r="N81" t="inlineStr">
        <is>
          <t>Repeat</t>
        </is>
      </c>
      <c r="O81" t="inlineStr">
        <is>
          <t>2026-03</t>
        </is>
      </c>
      <c r="P81" s="11" t="n">
        <v>315.43</v>
      </c>
      <c r="Q81" s="11" t="n">
        <v>162.08</v>
      </c>
      <c r="R81" s="11" t="n">
        <v>-4.14</v>
      </c>
      <c r="S81" s="11" t="n">
        <v>157.94</v>
      </c>
    </row>
    <row r="82">
      <c r="A82" t="inlineStr">
        <is>
          <t>ORD-1085</t>
        </is>
      </c>
      <c r="B82" s="10" t="n">
        <v>46098</v>
      </c>
      <c r="C82" t="inlineStr">
        <is>
          <t>CUST-090</t>
        </is>
      </c>
      <c r="D82" t="inlineStr">
        <is>
          <t>Greater Accra</t>
        </is>
      </c>
      <c r="E82" t="inlineStr">
        <is>
          <t>Home &amp; Kitchen</t>
        </is>
      </c>
      <c r="F82" s="11" t="n">
        <v>636.77</v>
      </c>
      <c r="G82" s="11" t="n">
        <v>355.62</v>
      </c>
      <c r="H82" s="11" t="n">
        <v>20</v>
      </c>
      <c r="I82" s="11" t="n">
        <v>22.08</v>
      </c>
      <c r="J82" t="inlineStr">
        <is>
          <t>Delivered</t>
        </is>
      </c>
      <c r="K82" t="inlineStr">
        <is>
          <t>Cash on Delivery</t>
        </is>
      </c>
      <c r="L82" t="n">
        <v>2</v>
      </c>
      <c r="M82" s="11" t="n">
        <v>0</v>
      </c>
      <c r="N82" t="inlineStr">
        <is>
          <t>Repeat</t>
        </is>
      </c>
      <c r="O82" t="inlineStr">
        <is>
          <t>2026-03</t>
        </is>
      </c>
      <c r="P82" s="11" t="n">
        <v>636.77</v>
      </c>
      <c r="Q82" s="11" t="n">
        <v>281.15</v>
      </c>
      <c r="R82" s="11" t="n">
        <v>-2.08</v>
      </c>
      <c r="S82" s="11" t="n">
        <v>279.07</v>
      </c>
    </row>
    <row r="83">
      <c r="A83" t="inlineStr">
        <is>
          <t>ORD-1198</t>
        </is>
      </c>
      <c r="B83" s="10" t="n">
        <v>46098</v>
      </c>
      <c r="C83" t="inlineStr">
        <is>
          <t>CUST-073</t>
        </is>
      </c>
      <c r="D83" t="inlineStr">
        <is>
          <t>Eastern</t>
        </is>
      </c>
      <c r="E83" t="inlineStr">
        <is>
          <t>Personal Care</t>
        </is>
      </c>
      <c r="F83" s="11" t="n">
        <v>78.12</v>
      </c>
      <c r="G83" s="11" t="n">
        <v>39.84</v>
      </c>
      <c r="H83" s="11" t="n">
        <v>25</v>
      </c>
      <c r="I83" s="11" t="n">
        <v>39.27</v>
      </c>
      <c r="J83" t="inlineStr">
        <is>
          <t>Delivered</t>
        </is>
      </c>
      <c r="K83" t="inlineStr">
        <is>
          <t>Mobile Money</t>
        </is>
      </c>
      <c r="L83" t="n">
        <v>2</v>
      </c>
      <c r="M83" s="11" t="n">
        <v>0</v>
      </c>
      <c r="N83" t="inlineStr">
        <is>
          <t>Repeat</t>
        </is>
      </c>
      <c r="O83" t="inlineStr">
        <is>
          <t>2026-03</t>
        </is>
      </c>
      <c r="P83" s="11" t="n">
        <v>78.12</v>
      </c>
      <c r="Q83" s="11" t="n">
        <v>38.28</v>
      </c>
      <c r="R83" s="11" t="n">
        <v>-14.27</v>
      </c>
      <c r="S83" s="11" t="n">
        <v>24.01</v>
      </c>
    </row>
    <row r="84">
      <c r="A84" t="inlineStr">
        <is>
          <t>ORD-1188</t>
        </is>
      </c>
      <c r="B84" s="10" t="n">
        <v>46099</v>
      </c>
      <c r="C84" t="inlineStr">
        <is>
          <t>CUST-037</t>
        </is>
      </c>
      <c r="D84" t="inlineStr">
        <is>
          <t>Eastern</t>
        </is>
      </c>
      <c r="E84" t="inlineStr">
        <is>
          <t>Stationery</t>
        </is>
      </c>
      <c r="F84" s="11" t="n">
        <v>128.89</v>
      </c>
      <c r="G84" s="11" t="n">
        <v>56.46</v>
      </c>
      <c r="H84" s="11" t="n">
        <v>25</v>
      </c>
      <c r="I84" s="11" t="n">
        <v>34.49</v>
      </c>
      <c r="J84" t="inlineStr">
        <is>
          <t>Failed</t>
        </is>
      </c>
      <c r="K84" t="inlineStr">
        <is>
          <t>Card</t>
        </is>
      </c>
      <c r="L84" t="n">
        <v>6</v>
      </c>
      <c r="M84" s="11" t="n">
        <v>12.89</v>
      </c>
      <c r="N84" t="inlineStr">
        <is>
          <t>Repeat</t>
        </is>
      </c>
      <c r="O84" t="inlineStr">
        <is>
          <t>2026-03</t>
        </is>
      </c>
      <c r="P84" s="11" t="n">
        <v>0</v>
      </c>
      <c r="Q84" s="11" t="n">
        <v>0</v>
      </c>
      <c r="R84" s="11" t="n">
        <v>-9.49</v>
      </c>
      <c r="S84" s="11" t="n">
        <v>-22.38</v>
      </c>
    </row>
    <row r="85">
      <c r="A85" t="inlineStr">
        <is>
          <t>ORD-1063</t>
        </is>
      </c>
      <c r="B85" s="10" t="n">
        <v>46100</v>
      </c>
      <c r="C85" t="inlineStr">
        <is>
          <t>CUST-090</t>
        </is>
      </c>
      <c r="D85" t="inlineStr">
        <is>
          <t>Greater Accra</t>
        </is>
      </c>
      <c r="E85" t="inlineStr">
        <is>
          <t>Home &amp; Kitchen</t>
        </is>
      </c>
      <c r="F85" s="11" t="n">
        <v>213.35</v>
      </c>
      <c r="G85" s="11" t="n">
        <v>114.61</v>
      </c>
      <c r="H85" s="11" t="n">
        <v>25</v>
      </c>
      <c r="I85" s="11" t="n">
        <v>27.8</v>
      </c>
      <c r="J85" t="inlineStr">
        <is>
          <t>Delivered</t>
        </is>
      </c>
      <c r="K85" t="inlineStr">
        <is>
          <t>Mobile Money</t>
        </is>
      </c>
      <c r="L85" t="n">
        <v>1</v>
      </c>
      <c r="M85" s="11" t="n">
        <v>0</v>
      </c>
      <c r="N85" t="inlineStr">
        <is>
          <t>Repeat</t>
        </is>
      </c>
      <c r="O85" t="inlineStr">
        <is>
          <t>2026-03</t>
        </is>
      </c>
      <c r="P85" s="11" t="n">
        <v>213.35</v>
      </c>
      <c r="Q85" s="11" t="n">
        <v>98.73999999999999</v>
      </c>
      <c r="R85" s="11" t="n">
        <v>-2.8</v>
      </c>
      <c r="S85" s="11" t="n">
        <v>95.94</v>
      </c>
    </row>
    <row r="86">
      <c r="A86" t="inlineStr">
        <is>
          <t>ORD-1125</t>
        </is>
      </c>
      <c r="B86" s="10" t="n">
        <v>46100</v>
      </c>
      <c r="C86" t="inlineStr">
        <is>
          <t>CUST-036</t>
        </is>
      </c>
      <c r="D86" t="inlineStr">
        <is>
          <t>Northern</t>
        </is>
      </c>
      <c r="E86" t="inlineStr">
        <is>
          <t>Personal Care</t>
        </is>
      </c>
      <c r="F86" s="11" t="n">
        <v>121.78</v>
      </c>
      <c r="G86" s="11" t="n">
        <v>50.34</v>
      </c>
      <c r="H86" s="11" t="n">
        <v>25</v>
      </c>
      <c r="I86" s="11" t="n">
        <v>41.52</v>
      </c>
      <c r="J86" t="inlineStr">
        <is>
          <t>Delivered</t>
        </is>
      </c>
      <c r="K86" t="inlineStr">
        <is>
          <t>Card</t>
        </is>
      </c>
      <c r="L86" t="n">
        <v>4</v>
      </c>
      <c r="M86" s="11" t="n">
        <v>0</v>
      </c>
      <c r="N86" t="inlineStr">
        <is>
          <t>Repeat</t>
        </is>
      </c>
      <c r="O86" t="inlineStr">
        <is>
          <t>2026-03</t>
        </is>
      </c>
      <c r="P86" s="11" t="n">
        <v>121.78</v>
      </c>
      <c r="Q86" s="11" t="n">
        <v>71.44</v>
      </c>
      <c r="R86" s="11" t="n">
        <v>-16.52</v>
      </c>
      <c r="S86" s="11" t="n">
        <v>54.92</v>
      </c>
    </row>
    <row r="87">
      <c r="A87" t="inlineStr">
        <is>
          <t>ORD-1020</t>
        </is>
      </c>
      <c r="B87" s="10" t="n">
        <v>46101</v>
      </c>
      <c r="C87" t="inlineStr">
        <is>
          <t>CUST-030</t>
        </is>
      </c>
      <c r="D87" t="inlineStr">
        <is>
          <t>Northern</t>
        </is>
      </c>
      <c r="E87" t="inlineStr">
        <is>
          <t>Electronics Accessories</t>
        </is>
      </c>
      <c r="F87" s="11" t="n">
        <v>621.23</v>
      </c>
      <c r="G87" s="11" t="n">
        <v>367.6</v>
      </c>
      <c r="H87" s="11" t="n">
        <v>20</v>
      </c>
      <c r="I87" s="11" t="n">
        <v>40.64</v>
      </c>
      <c r="J87" t="inlineStr">
        <is>
          <t>Returned</t>
        </is>
      </c>
      <c r="K87" t="inlineStr">
        <is>
          <t>Mobile Money</t>
        </is>
      </c>
      <c r="L87" t="n">
        <v>6</v>
      </c>
      <c r="M87" s="11" t="n">
        <v>16.66</v>
      </c>
      <c r="N87" t="inlineStr">
        <is>
          <t>Repeat</t>
        </is>
      </c>
      <c r="O87" t="inlineStr">
        <is>
          <t>2026-03</t>
        </is>
      </c>
      <c r="P87" s="11" t="n">
        <v>0</v>
      </c>
      <c r="Q87" s="11" t="n">
        <v>0</v>
      </c>
      <c r="R87" s="11" t="n">
        <v>-20.64</v>
      </c>
      <c r="S87" s="11" t="n">
        <v>-37.3</v>
      </c>
    </row>
    <row r="88">
      <c r="A88" t="inlineStr">
        <is>
          <t>ORD-1051</t>
        </is>
      </c>
      <c r="B88" s="10" t="n">
        <v>46101</v>
      </c>
      <c r="C88" t="inlineStr">
        <is>
          <t>CUST-085</t>
        </is>
      </c>
      <c r="D88" t="inlineStr">
        <is>
          <t>Ashanti</t>
        </is>
      </c>
      <c r="E88" t="inlineStr">
        <is>
          <t>Personal Care</t>
        </is>
      </c>
      <c r="F88" s="11" t="n">
        <v>155.15</v>
      </c>
      <c r="G88" s="11" t="n">
        <v>76.89</v>
      </c>
      <c r="H88" s="11" t="n">
        <v>25</v>
      </c>
      <c r="I88" s="11" t="n">
        <v>39.97</v>
      </c>
      <c r="J88" t="inlineStr">
        <is>
          <t>Delivered</t>
        </is>
      </c>
      <c r="K88" t="inlineStr">
        <is>
          <t>Mobile Money</t>
        </is>
      </c>
      <c r="L88" t="n">
        <v>3</v>
      </c>
      <c r="M88" s="11" t="n">
        <v>0</v>
      </c>
      <c r="N88" t="inlineStr">
        <is>
          <t>Repeat</t>
        </is>
      </c>
      <c r="O88" t="inlineStr">
        <is>
          <t>2026-03</t>
        </is>
      </c>
      <c r="P88" s="11" t="n">
        <v>155.15</v>
      </c>
      <c r="Q88" s="11" t="n">
        <v>78.26000000000001</v>
      </c>
      <c r="R88" s="11" t="n">
        <v>-14.97</v>
      </c>
      <c r="S88" s="11" t="n">
        <v>63.29</v>
      </c>
    </row>
    <row r="89">
      <c r="A89" t="inlineStr">
        <is>
          <t>ORD-1155</t>
        </is>
      </c>
      <c r="B89" s="10" t="n">
        <v>46101</v>
      </c>
      <c r="C89" t="inlineStr">
        <is>
          <t>CUST-058</t>
        </is>
      </c>
      <c r="D89" t="inlineStr">
        <is>
          <t>Central</t>
        </is>
      </c>
      <c r="E89" t="inlineStr">
        <is>
          <t>Personal Care</t>
        </is>
      </c>
      <c r="F89" s="11" t="n">
        <v>142.18</v>
      </c>
      <c r="G89" s="11" t="n">
        <v>74.52</v>
      </c>
      <c r="H89" s="11" t="n">
        <v>20</v>
      </c>
      <c r="I89" s="11" t="n">
        <v>31.47</v>
      </c>
      <c r="J89" t="inlineStr">
        <is>
          <t>Delivered</t>
        </is>
      </c>
      <c r="K89" t="inlineStr">
        <is>
          <t>Card</t>
        </is>
      </c>
      <c r="L89" t="n">
        <v>2</v>
      </c>
      <c r="M89" s="11" t="n">
        <v>0</v>
      </c>
      <c r="N89" t="inlineStr">
        <is>
          <t>Repeat</t>
        </is>
      </c>
      <c r="O89" t="inlineStr">
        <is>
          <t>2026-03</t>
        </is>
      </c>
      <c r="P89" s="11" t="n">
        <v>142.18</v>
      </c>
      <c r="Q89" s="11" t="n">
        <v>67.66000000000001</v>
      </c>
      <c r="R89" s="11" t="n">
        <v>-11.47</v>
      </c>
      <c r="S89" s="11" t="n">
        <v>56.19</v>
      </c>
    </row>
    <row r="90">
      <c r="A90" t="inlineStr">
        <is>
          <t>ORD-1201</t>
        </is>
      </c>
      <c r="B90" s="10" t="n">
        <v>46101</v>
      </c>
      <c r="C90" t="inlineStr">
        <is>
          <t>CUST-021</t>
        </is>
      </c>
      <c r="D90" t="inlineStr">
        <is>
          <t>Eastern</t>
        </is>
      </c>
      <c r="E90" t="inlineStr">
        <is>
          <t>Home &amp; Kitchen</t>
        </is>
      </c>
      <c r="F90" s="11" t="n">
        <v>351.51</v>
      </c>
      <c r="G90" s="11" t="n">
        <v>211.3</v>
      </c>
      <c r="H90" s="11" t="n">
        <v>20</v>
      </c>
      <c r="I90" s="11" t="n">
        <v>32.9</v>
      </c>
      <c r="J90" t="inlineStr">
        <is>
          <t>Delivered</t>
        </is>
      </c>
      <c r="K90" t="inlineStr">
        <is>
          <t>Bank Transfer</t>
        </is>
      </c>
      <c r="L90" t="n">
        <v>2</v>
      </c>
      <c r="M90" s="11" t="n">
        <v>0</v>
      </c>
      <c r="N90" t="inlineStr">
        <is>
          <t>Repeat</t>
        </is>
      </c>
      <c r="O90" t="inlineStr">
        <is>
          <t>2026-03</t>
        </is>
      </c>
      <c r="P90" s="11" t="n">
        <v>351.51</v>
      </c>
      <c r="Q90" s="11" t="n">
        <v>140.21</v>
      </c>
      <c r="R90" s="11" t="n">
        <v>-12.9</v>
      </c>
      <c r="S90" s="11" t="n">
        <v>127.31</v>
      </c>
    </row>
    <row r="91">
      <c r="A91" t="inlineStr">
        <is>
          <t>ORD-1207</t>
        </is>
      </c>
      <c r="B91" s="10" t="n">
        <v>46101</v>
      </c>
      <c r="C91" t="inlineStr">
        <is>
          <t>CUST-003</t>
        </is>
      </c>
      <c r="D91" t="inlineStr">
        <is>
          <t>Greater Accra</t>
        </is>
      </c>
      <c r="E91" t="inlineStr">
        <is>
          <t>Home &amp; Kitchen</t>
        </is>
      </c>
      <c r="F91" s="11" t="n">
        <v>539.87</v>
      </c>
      <c r="G91" s="11" t="n">
        <v>310.02</v>
      </c>
      <c r="H91" s="11" t="n">
        <v>30</v>
      </c>
      <c r="I91" s="11" t="n">
        <v>32.73</v>
      </c>
      <c r="J91" t="inlineStr">
        <is>
          <t>Delivered</t>
        </is>
      </c>
      <c r="K91" t="inlineStr">
        <is>
          <t>Cash on Delivery</t>
        </is>
      </c>
      <c r="L91" t="n">
        <v>1</v>
      </c>
      <c r="M91" s="11" t="n">
        <v>0</v>
      </c>
      <c r="N91" t="inlineStr">
        <is>
          <t>Repeat</t>
        </is>
      </c>
      <c r="O91" t="inlineStr">
        <is>
          <t>2026-03</t>
        </is>
      </c>
      <c r="P91" s="11" t="n">
        <v>539.87</v>
      </c>
      <c r="Q91" s="11" t="n">
        <v>229.85</v>
      </c>
      <c r="R91" s="11" t="n">
        <v>-2.73</v>
      </c>
      <c r="S91" s="11" t="n">
        <v>227.12</v>
      </c>
    </row>
    <row r="92">
      <c r="A92" t="inlineStr">
        <is>
          <t>ORD-1070</t>
        </is>
      </c>
      <c r="B92" s="10" t="n">
        <v>46102</v>
      </c>
      <c r="C92" t="inlineStr">
        <is>
          <t>CUST-071</t>
        </is>
      </c>
      <c r="D92" t="inlineStr">
        <is>
          <t>Greater Accra</t>
        </is>
      </c>
      <c r="E92" t="inlineStr">
        <is>
          <t>Electronics Accessories</t>
        </is>
      </c>
      <c r="F92" s="11" t="n">
        <v>414.55</v>
      </c>
      <c r="G92" s="11" t="n">
        <v>232.33</v>
      </c>
      <c r="H92" s="11" t="n">
        <v>10</v>
      </c>
      <c r="I92" s="11" t="n">
        <v>16.61</v>
      </c>
      <c r="J92" t="inlineStr">
        <is>
          <t>Delivered</t>
        </is>
      </c>
      <c r="K92" t="inlineStr">
        <is>
          <t>Card</t>
        </is>
      </c>
      <c r="L92" t="n">
        <v>3</v>
      </c>
      <c r="M92" s="11" t="n">
        <v>0</v>
      </c>
      <c r="N92" t="inlineStr">
        <is>
          <t>Repeat</t>
        </is>
      </c>
      <c r="O92" t="inlineStr">
        <is>
          <t>2026-03</t>
        </is>
      </c>
      <c r="P92" s="11" t="n">
        <v>414.55</v>
      </c>
      <c r="Q92" s="11" t="n">
        <v>182.22</v>
      </c>
      <c r="R92" s="11" t="n">
        <v>-6.61</v>
      </c>
      <c r="S92" s="11" t="n">
        <v>175.61</v>
      </c>
    </row>
    <row r="93">
      <c r="A93" t="inlineStr">
        <is>
          <t>ORD-1119</t>
        </is>
      </c>
      <c r="B93" s="10" t="n">
        <v>46103</v>
      </c>
      <c r="C93" t="inlineStr">
        <is>
          <t>CUST-074</t>
        </is>
      </c>
      <c r="D93" t="inlineStr">
        <is>
          <t>Ashanti</t>
        </is>
      </c>
      <c r="E93" t="inlineStr">
        <is>
          <t>Home &amp; Kitchen</t>
        </is>
      </c>
      <c r="F93" s="11" t="n">
        <v>292.65</v>
      </c>
      <c r="G93" s="11" t="n">
        <v>162.49</v>
      </c>
      <c r="H93" s="11" t="n">
        <v>20</v>
      </c>
      <c r="I93" s="11" t="n">
        <v>26.15</v>
      </c>
      <c r="J93" t="inlineStr">
        <is>
          <t>Delivered</t>
        </is>
      </c>
      <c r="K93" t="inlineStr">
        <is>
          <t>Mobile Money</t>
        </is>
      </c>
      <c r="L93" t="n">
        <v>3</v>
      </c>
      <c r="M93" s="11" t="n">
        <v>0</v>
      </c>
      <c r="N93" t="inlineStr">
        <is>
          <t>Repeat</t>
        </is>
      </c>
      <c r="O93" t="inlineStr">
        <is>
          <t>2026-03</t>
        </is>
      </c>
      <c r="P93" s="11" t="n">
        <v>292.65</v>
      </c>
      <c r="Q93" s="11" t="n">
        <v>130.16</v>
      </c>
      <c r="R93" s="11" t="n">
        <v>-6.15</v>
      </c>
      <c r="S93" s="11" t="n">
        <v>124.01</v>
      </c>
    </row>
    <row r="94">
      <c r="A94" t="inlineStr">
        <is>
          <t>ORD-1162</t>
        </is>
      </c>
      <c r="B94" s="10" t="n">
        <v>46104</v>
      </c>
      <c r="C94" t="inlineStr">
        <is>
          <t>CUST-086</t>
        </is>
      </c>
      <c r="D94" t="inlineStr">
        <is>
          <t>Greater Accra</t>
        </is>
      </c>
      <c r="E94" t="inlineStr">
        <is>
          <t>Home &amp; Kitchen</t>
        </is>
      </c>
      <c r="F94" s="11" t="n">
        <v>88.95999999999999</v>
      </c>
      <c r="G94" s="11" t="n">
        <v>47.82</v>
      </c>
      <c r="H94" s="11" t="n">
        <v>20</v>
      </c>
      <c r="I94" s="11" t="n">
        <v>30.51</v>
      </c>
      <c r="J94" t="inlineStr">
        <is>
          <t>Delivered</t>
        </is>
      </c>
      <c r="K94" t="inlineStr">
        <is>
          <t>Bank Transfer</t>
        </is>
      </c>
      <c r="L94" t="n">
        <v>1</v>
      </c>
      <c r="M94" s="11" t="n">
        <v>0</v>
      </c>
      <c r="N94" t="inlineStr">
        <is>
          <t>Repeat</t>
        </is>
      </c>
      <c r="O94" t="inlineStr">
        <is>
          <t>2026-03</t>
        </is>
      </c>
      <c r="P94" s="11" t="n">
        <v>88.95999999999999</v>
      </c>
      <c r="Q94" s="11" t="n">
        <v>41.13999999999999</v>
      </c>
      <c r="R94" s="11" t="n">
        <v>-10.51</v>
      </c>
      <c r="S94" s="11" t="n">
        <v>30.63</v>
      </c>
    </row>
    <row r="95">
      <c r="A95" t="inlineStr">
        <is>
          <t>ORD-1172</t>
        </is>
      </c>
      <c r="B95" s="10" t="n">
        <v>46104</v>
      </c>
      <c r="C95" t="inlineStr">
        <is>
          <t>CUST-045</t>
        </is>
      </c>
      <c r="D95" t="inlineStr">
        <is>
          <t>Greater Accra</t>
        </is>
      </c>
      <c r="E95" t="inlineStr">
        <is>
          <t>Small Appliances</t>
        </is>
      </c>
      <c r="F95" s="11" t="n">
        <v>326.53</v>
      </c>
      <c r="G95" s="11" t="n">
        <v>217.7</v>
      </c>
      <c r="H95" s="11" t="n">
        <v>30</v>
      </c>
      <c r="I95" s="11" t="n">
        <v>33.06</v>
      </c>
      <c r="J95" t="inlineStr">
        <is>
          <t>Delivered</t>
        </is>
      </c>
      <c r="K95" t="inlineStr">
        <is>
          <t>Mobile Money</t>
        </is>
      </c>
      <c r="L95" t="n">
        <v>2</v>
      </c>
      <c r="M95" s="11" t="n">
        <v>0</v>
      </c>
      <c r="N95" t="inlineStr">
        <is>
          <t>Repeat</t>
        </is>
      </c>
      <c r="O95" t="inlineStr">
        <is>
          <t>2026-03</t>
        </is>
      </c>
      <c r="P95" s="11" t="n">
        <v>326.53</v>
      </c>
      <c r="Q95" s="11" t="n">
        <v>108.83</v>
      </c>
      <c r="R95" s="11" t="n">
        <v>-3.06</v>
      </c>
      <c r="S95" s="11" t="n">
        <v>105.77</v>
      </c>
    </row>
    <row r="96">
      <c r="A96" t="inlineStr">
        <is>
          <t>ORD-1217</t>
        </is>
      </c>
      <c r="B96" s="10" t="n">
        <v>46104</v>
      </c>
      <c r="C96" t="inlineStr">
        <is>
          <t>CUST-090</t>
        </is>
      </c>
      <c r="D96" t="inlineStr">
        <is>
          <t>Greater Accra</t>
        </is>
      </c>
      <c r="E96" t="inlineStr">
        <is>
          <t>Home &amp; Kitchen</t>
        </is>
      </c>
      <c r="F96" s="11" t="n">
        <v>139.53</v>
      </c>
      <c r="G96" s="11" t="n">
        <v>70.84999999999999</v>
      </c>
      <c r="H96" s="11" t="n">
        <v>30</v>
      </c>
      <c r="I96" s="11" t="n">
        <v>36.74</v>
      </c>
      <c r="J96" t="inlineStr">
        <is>
          <t>Delivered</t>
        </is>
      </c>
      <c r="K96" t="inlineStr">
        <is>
          <t>Mobile Money</t>
        </is>
      </c>
      <c r="L96" t="n">
        <v>2</v>
      </c>
      <c r="M96" s="11" t="n">
        <v>0</v>
      </c>
      <c r="N96" t="inlineStr">
        <is>
          <t>Repeat</t>
        </is>
      </c>
      <c r="O96" t="inlineStr">
        <is>
          <t>2026-03</t>
        </is>
      </c>
      <c r="P96" s="11" t="n">
        <v>139.53</v>
      </c>
      <c r="Q96" s="11" t="n">
        <v>68.68000000000001</v>
      </c>
      <c r="R96" s="11" t="n">
        <v>-6.74</v>
      </c>
      <c r="S96" s="11" t="n">
        <v>61.94</v>
      </c>
    </row>
    <row r="97">
      <c r="A97" t="inlineStr">
        <is>
          <t>ORD-1224</t>
        </is>
      </c>
      <c r="B97" s="10" t="n">
        <v>46104</v>
      </c>
      <c r="C97" t="inlineStr">
        <is>
          <t>CUST-027</t>
        </is>
      </c>
      <c r="D97" t="inlineStr">
        <is>
          <t>Greater Accra</t>
        </is>
      </c>
      <c r="E97" t="inlineStr">
        <is>
          <t>Home &amp; Kitchen</t>
        </is>
      </c>
      <c r="F97" s="11" t="n">
        <v>298.36</v>
      </c>
      <c r="G97" s="11" t="n">
        <v>161.49</v>
      </c>
      <c r="H97" s="11" t="n">
        <v>15</v>
      </c>
      <c r="I97" s="11" t="n">
        <v>24.41</v>
      </c>
      <c r="J97" t="inlineStr">
        <is>
          <t>Delivered</t>
        </is>
      </c>
      <c r="K97" t="inlineStr">
        <is>
          <t>Cash on Delivery</t>
        </is>
      </c>
      <c r="L97" t="n">
        <v>1</v>
      </c>
      <c r="M97" s="11" t="n">
        <v>0</v>
      </c>
      <c r="N97" t="inlineStr">
        <is>
          <t>Repeat</t>
        </is>
      </c>
      <c r="O97" t="inlineStr">
        <is>
          <t>2026-03</t>
        </is>
      </c>
      <c r="P97" s="11" t="n">
        <v>298.36</v>
      </c>
      <c r="Q97" s="11" t="n">
        <v>136.87</v>
      </c>
      <c r="R97" s="11" t="n">
        <v>-9.41</v>
      </c>
      <c r="S97" s="11" t="n">
        <v>127.46</v>
      </c>
    </row>
    <row r="98">
      <c r="A98" t="inlineStr">
        <is>
          <t>ORD-1248</t>
        </is>
      </c>
      <c r="B98" s="10" t="n">
        <v>46104</v>
      </c>
      <c r="C98" t="inlineStr">
        <is>
          <t>CUST-038</t>
        </is>
      </c>
      <c r="D98" t="inlineStr">
        <is>
          <t>Northern</t>
        </is>
      </c>
      <c r="E98" t="inlineStr">
        <is>
          <t>Stationery</t>
        </is>
      </c>
      <c r="F98" s="11" t="n">
        <v>119.43</v>
      </c>
      <c r="G98" s="11" t="n">
        <v>62.6</v>
      </c>
      <c r="H98" s="11" t="n">
        <v>15</v>
      </c>
      <c r="I98" s="11" t="n">
        <v>30.26</v>
      </c>
      <c r="J98" t="inlineStr">
        <is>
          <t>Delivered</t>
        </is>
      </c>
      <c r="K98" t="inlineStr">
        <is>
          <t>Card</t>
        </is>
      </c>
      <c r="L98" t="n">
        <v>5</v>
      </c>
      <c r="M98" s="11" t="n">
        <v>0</v>
      </c>
      <c r="N98" t="inlineStr">
        <is>
          <t>Repeat</t>
        </is>
      </c>
      <c r="O98" t="inlineStr">
        <is>
          <t>2026-03</t>
        </is>
      </c>
      <c r="P98" s="11" t="n">
        <v>119.43</v>
      </c>
      <c r="Q98" s="11" t="n">
        <v>56.83000000000001</v>
      </c>
      <c r="R98" s="11" t="n">
        <v>-15.26</v>
      </c>
      <c r="S98" s="11" t="n">
        <v>41.57</v>
      </c>
    </row>
    <row r="99">
      <c r="A99" t="inlineStr">
        <is>
          <t>ORD-1064</t>
        </is>
      </c>
      <c r="B99" s="10" t="n">
        <v>46105</v>
      </c>
      <c r="C99" t="inlineStr">
        <is>
          <t>CUST-078</t>
        </is>
      </c>
      <c r="D99" t="inlineStr">
        <is>
          <t>Ashanti</t>
        </is>
      </c>
      <c r="E99" t="inlineStr">
        <is>
          <t>Home &amp; Kitchen</t>
        </is>
      </c>
      <c r="F99" s="11" t="n">
        <v>104.8</v>
      </c>
      <c r="G99" s="11" t="n">
        <v>64.26000000000001</v>
      </c>
      <c r="H99" s="11" t="n">
        <v>30</v>
      </c>
      <c r="I99" s="11" t="n">
        <v>40.87</v>
      </c>
      <c r="J99" t="inlineStr">
        <is>
          <t>Delivered</t>
        </is>
      </c>
      <c r="K99" t="inlineStr">
        <is>
          <t>Cash on Delivery</t>
        </is>
      </c>
      <c r="L99" t="n">
        <v>3</v>
      </c>
      <c r="M99" s="11" t="n">
        <v>0</v>
      </c>
      <c r="N99" t="inlineStr">
        <is>
          <t>Repeat</t>
        </is>
      </c>
      <c r="O99" t="inlineStr">
        <is>
          <t>2026-03</t>
        </is>
      </c>
      <c r="P99" s="11" t="n">
        <v>104.8</v>
      </c>
      <c r="Q99" s="11" t="n">
        <v>40.53999999999999</v>
      </c>
      <c r="R99" s="11" t="n">
        <v>-10.87</v>
      </c>
      <c r="S99" s="11" t="n">
        <v>29.67</v>
      </c>
    </row>
    <row r="100">
      <c r="A100" t="inlineStr">
        <is>
          <t>ORD-1215</t>
        </is>
      </c>
      <c r="B100" s="10" t="n">
        <v>46105</v>
      </c>
      <c r="C100" t="inlineStr">
        <is>
          <t>CUST-031</t>
        </is>
      </c>
      <c r="D100" t="inlineStr">
        <is>
          <t>Eastern</t>
        </is>
      </c>
      <c r="E100" t="inlineStr">
        <is>
          <t>Home &amp; Kitchen</t>
        </is>
      </c>
      <c r="F100" s="11" t="n">
        <v>135.96</v>
      </c>
      <c r="G100" s="11" t="n">
        <v>75.98</v>
      </c>
      <c r="H100" s="11" t="n">
        <v>15</v>
      </c>
      <c r="I100" s="11" t="n">
        <v>25.14</v>
      </c>
      <c r="J100" t="inlineStr">
        <is>
          <t>Delivered</t>
        </is>
      </c>
      <c r="K100" t="inlineStr">
        <is>
          <t>Cash on Delivery</t>
        </is>
      </c>
      <c r="L100" t="n">
        <v>2</v>
      </c>
      <c r="M100" s="11" t="n">
        <v>0</v>
      </c>
      <c r="N100" t="inlineStr">
        <is>
          <t>Repeat</t>
        </is>
      </c>
      <c r="O100" t="inlineStr">
        <is>
          <t>2026-03</t>
        </is>
      </c>
      <c r="P100" s="11" t="n">
        <v>135.96</v>
      </c>
      <c r="Q100" s="11" t="n">
        <v>59.98</v>
      </c>
      <c r="R100" s="11" t="n">
        <v>-10.14</v>
      </c>
      <c r="S100" s="11" t="n">
        <v>49.84</v>
      </c>
    </row>
    <row r="101">
      <c r="A101" t="inlineStr">
        <is>
          <t>ORD-1093</t>
        </is>
      </c>
      <c r="B101" s="10" t="n">
        <v>46106</v>
      </c>
      <c r="C101" t="inlineStr">
        <is>
          <t>CUST-079</t>
        </is>
      </c>
      <c r="D101" t="inlineStr">
        <is>
          <t>Greater Accra</t>
        </is>
      </c>
      <c r="E101" t="inlineStr">
        <is>
          <t>Electronics Accessories</t>
        </is>
      </c>
      <c r="F101" s="11" t="n">
        <v>131.84</v>
      </c>
      <c r="G101" s="11" t="n">
        <v>88.11</v>
      </c>
      <c r="H101" s="11" t="n">
        <v>20</v>
      </c>
      <c r="I101" s="11" t="n">
        <v>28.49</v>
      </c>
      <c r="J101" t="inlineStr">
        <is>
          <t>Delivered</t>
        </is>
      </c>
      <c r="K101" t="inlineStr">
        <is>
          <t>Mobile Money</t>
        </is>
      </c>
      <c r="L101" t="n">
        <v>1</v>
      </c>
      <c r="M101" s="11" t="n">
        <v>0</v>
      </c>
      <c r="N101" t="inlineStr">
        <is>
          <t>Repeat</t>
        </is>
      </c>
      <c r="O101" t="inlineStr">
        <is>
          <t>2026-03</t>
        </is>
      </c>
      <c r="P101" s="11" t="n">
        <v>131.84</v>
      </c>
      <c r="Q101" s="11" t="n">
        <v>43.73</v>
      </c>
      <c r="R101" s="11" t="n">
        <v>-8.49</v>
      </c>
      <c r="S101" s="11" t="n">
        <v>35.24</v>
      </c>
    </row>
    <row r="102">
      <c r="A102" t="inlineStr">
        <is>
          <t>ORD-1105</t>
        </is>
      </c>
      <c r="B102" s="10" t="n">
        <v>46106</v>
      </c>
      <c r="C102" t="inlineStr">
        <is>
          <t>CUST-049</t>
        </is>
      </c>
      <c r="D102" t="inlineStr">
        <is>
          <t>Northern</t>
        </is>
      </c>
      <c r="E102" t="inlineStr">
        <is>
          <t>Small Appliances</t>
        </is>
      </c>
      <c r="F102" s="11" t="n">
        <v>866.25</v>
      </c>
      <c r="G102" s="11" t="n">
        <v>590.5</v>
      </c>
      <c r="H102" s="11" t="n">
        <v>30</v>
      </c>
      <c r="I102" s="11" t="n">
        <v>46.3</v>
      </c>
      <c r="J102" t="inlineStr">
        <is>
          <t>Failed</t>
        </is>
      </c>
      <c r="K102" t="inlineStr">
        <is>
          <t>Mobile Money</t>
        </is>
      </c>
      <c r="L102" t="n">
        <v>5</v>
      </c>
      <c r="M102" s="11" t="n">
        <v>15.31</v>
      </c>
      <c r="N102" t="inlineStr">
        <is>
          <t>Repeat</t>
        </is>
      </c>
      <c r="O102" t="inlineStr">
        <is>
          <t>2026-03</t>
        </is>
      </c>
      <c r="P102" s="11" t="n">
        <v>0</v>
      </c>
      <c r="Q102" s="11" t="n">
        <v>0</v>
      </c>
      <c r="R102" s="11" t="n">
        <v>-16.3</v>
      </c>
      <c r="S102" s="11" t="n">
        <v>-31.61</v>
      </c>
    </row>
    <row r="103">
      <c r="A103" t="inlineStr">
        <is>
          <t>ORD-1024</t>
        </is>
      </c>
      <c r="B103" s="10" t="n">
        <v>46107</v>
      </c>
      <c r="C103" t="inlineStr">
        <is>
          <t>CUST-080</t>
        </is>
      </c>
      <c r="D103" t="inlineStr">
        <is>
          <t>Greater Accra</t>
        </is>
      </c>
      <c r="E103" t="inlineStr">
        <is>
          <t>Home &amp; Kitchen</t>
        </is>
      </c>
      <c r="F103" s="11" t="n">
        <v>558.8099999999999</v>
      </c>
      <c r="G103" s="11" t="n">
        <v>318.27</v>
      </c>
      <c r="H103" s="11" t="n">
        <v>20</v>
      </c>
      <c r="I103" s="11" t="n">
        <v>27.07</v>
      </c>
      <c r="J103" t="inlineStr">
        <is>
          <t>Delivered</t>
        </is>
      </c>
      <c r="K103" t="inlineStr">
        <is>
          <t>Mobile Money</t>
        </is>
      </c>
      <c r="L103" t="n">
        <v>1</v>
      </c>
      <c r="M103" s="11" t="n">
        <v>0</v>
      </c>
      <c r="N103" t="inlineStr">
        <is>
          <t>Repeat</t>
        </is>
      </c>
      <c r="O103" t="inlineStr">
        <is>
          <t>2026-03</t>
        </is>
      </c>
      <c r="P103" s="11" t="n">
        <v>558.8099999999999</v>
      </c>
      <c r="Q103" s="11" t="n">
        <v>240.54</v>
      </c>
      <c r="R103" s="11" t="n">
        <v>-7.07</v>
      </c>
      <c r="S103" s="11" t="n">
        <v>233.47</v>
      </c>
    </row>
    <row r="104">
      <c r="A104" t="inlineStr">
        <is>
          <t>ORD-1078</t>
        </is>
      </c>
      <c r="B104" s="10" t="n">
        <v>46107</v>
      </c>
      <c r="C104" t="inlineStr">
        <is>
          <t>CUST-087</t>
        </is>
      </c>
      <c r="D104" t="inlineStr">
        <is>
          <t>Western</t>
        </is>
      </c>
      <c r="E104" t="inlineStr">
        <is>
          <t>Small Appliances</t>
        </is>
      </c>
      <c r="F104" s="11" t="n">
        <v>663.01</v>
      </c>
      <c r="G104" s="11" t="n">
        <v>435.6</v>
      </c>
      <c r="H104" s="11" t="n">
        <v>25</v>
      </c>
      <c r="I104" s="11" t="n">
        <v>42.72</v>
      </c>
      <c r="J104" t="inlineStr">
        <is>
          <t>Delivered</t>
        </is>
      </c>
      <c r="K104" t="inlineStr">
        <is>
          <t>Mobile Money</t>
        </is>
      </c>
      <c r="L104" t="n">
        <v>3</v>
      </c>
      <c r="M104" s="11" t="n">
        <v>0</v>
      </c>
      <c r="N104" t="inlineStr">
        <is>
          <t>Repeat</t>
        </is>
      </c>
      <c r="O104" t="inlineStr">
        <is>
          <t>2026-03</t>
        </is>
      </c>
      <c r="P104" s="11" t="n">
        <v>663.01</v>
      </c>
      <c r="Q104" s="11" t="n">
        <v>227.41</v>
      </c>
      <c r="R104" s="11" t="n">
        <v>-17.72</v>
      </c>
      <c r="S104" s="11" t="n">
        <v>209.69</v>
      </c>
    </row>
    <row r="105">
      <c r="A105" t="inlineStr">
        <is>
          <t>ORD-1219</t>
        </is>
      </c>
      <c r="B105" s="10" t="n">
        <v>46107</v>
      </c>
      <c r="C105" t="inlineStr">
        <is>
          <t>CUST-083</t>
        </is>
      </c>
      <c r="D105" t="inlineStr">
        <is>
          <t>Northern</t>
        </is>
      </c>
      <c r="E105" t="inlineStr">
        <is>
          <t>Electronics Accessories</t>
        </is>
      </c>
      <c r="F105" s="11" t="n">
        <v>448.83</v>
      </c>
      <c r="G105" s="11" t="n">
        <v>263.37</v>
      </c>
      <c r="H105" s="11" t="n">
        <v>30</v>
      </c>
      <c r="I105" s="11" t="n">
        <v>49.25</v>
      </c>
      <c r="J105" t="inlineStr">
        <is>
          <t>Delivered</t>
        </is>
      </c>
      <c r="K105" t="inlineStr">
        <is>
          <t>Mobile Money</t>
        </is>
      </c>
      <c r="L105" t="n">
        <v>3</v>
      </c>
      <c r="M105" s="11" t="n">
        <v>0</v>
      </c>
      <c r="N105" t="inlineStr">
        <is>
          <t>Repeat</t>
        </is>
      </c>
      <c r="O105" t="inlineStr">
        <is>
          <t>2026-03</t>
        </is>
      </c>
      <c r="P105" s="11" t="n">
        <v>448.83</v>
      </c>
      <c r="Q105" s="11" t="n">
        <v>185.46</v>
      </c>
      <c r="R105" s="11" t="n">
        <v>-19.25</v>
      </c>
      <c r="S105" s="11" t="n">
        <v>166.21</v>
      </c>
    </row>
    <row r="106">
      <c r="A106" t="inlineStr">
        <is>
          <t>ORD-1074</t>
        </is>
      </c>
      <c r="B106" s="10" t="n">
        <v>46108</v>
      </c>
      <c r="C106" t="inlineStr">
        <is>
          <t>CUST-071</t>
        </is>
      </c>
      <c r="D106" t="inlineStr">
        <is>
          <t>Greater Accra</t>
        </is>
      </c>
      <c r="E106" t="inlineStr">
        <is>
          <t>Stationery</t>
        </is>
      </c>
      <c r="F106" s="11" t="n">
        <v>77.23999999999999</v>
      </c>
      <c r="G106" s="11" t="n">
        <v>40</v>
      </c>
      <c r="H106" s="11" t="n">
        <v>15</v>
      </c>
      <c r="I106" s="11" t="n">
        <v>26.81</v>
      </c>
      <c r="J106" t="inlineStr">
        <is>
          <t>Delivered</t>
        </is>
      </c>
      <c r="K106" t="inlineStr">
        <is>
          <t>Mobile Money</t>
        </is>
      </c>
      <c r="L106" t="n">
        <v>2</v>
      </c>
      <c r="M106" s="11" t="n">
        <v>0</v>
      </c>
      <c r="N106" t="inlineStr">
        <is>
          <t>Repeat</t>
        </is>
      </c>
      <c r="O106" t="inlineStr">
        <is>
          <t>2026-03</t>
        </is>
      </c>
      <c r="P106" s="11" t="n">
        <v>77.23999999999999</v>
      </c>
      <c r="Q106" s="11" t="n">
        <v>37.23999999999999</v>
      </c>
      <c r="R106" s="11" t="n">
        <v>-11.81</v>
      </c>
      <c r="S106" s="11" t="n">
        <v>25.43</v>
      </c>
    </row>
    <row r="107">
      <c r="A107" t="inlineStr">
        <is>
          <t>ORD-1180</t>
        </is>
      </c>
      <c r="B107" s="10" t="n">
        <v>46108</v>
      </c>
      <c r="C107" t="inlineStr">
        <is>
          <t>CUST-061</t>
        </is>
      </c>
      <c r="D107" t="inlineStr">
        <is>
          <t>Western</t>
        </is>
      </c>
      <c r="E107" t="inlineStr">
        <is>
          <t>Personal Care</t>
        </is>
      </c>
      <c r="F107" s="11" t="n">
        <v>65.95999999999999</v>
      </c>
      <c r="G107" s="11" t="n">
        <v>36.99</v>
      </c>
      <c r="H107" s="11" t="n">
        <v>15</v>
      </c>
      <c r="I107" s="11" t="n">
        <v>27.28</v>
      </c>
      <c r="J107" t="inlineStr">
        <is>
          <t>Delivered</t>
        </is>
      </c>
      <c r="K107" t="inlineStr">
        <is>
          <t>Mobile Money</t>
        </is>
      </c>
      <c r="L107" t="n">
        <v>3</v>
      </c>
      <c r="M107" s="11" t="n">
        <v>0</v>
      </c>
      <c r="N107" t="inlineStr">
        <is>
          <t>Repeat</t>
        </is>
      </c>
      <c r="O107" t="inlineStr">
        <is>
          <t>2026-03</t>
        </is>
      </c>
      <c r="P107" s="11" t="n">
        <v>65.95999999999999</v>
      </c>
      <c r="Q107" s="11" t="n">
        <v>28.96999999999999</v>
      </c>
      <c r="R107" s="11" t="n">
        <v>-12.28</v>
      </c>
      <c r="S107" s="11" t="n">
        <v>16.69</v>
      </c>
    </row>
    <row r="108">
      <c r="A108" t="inlineStr">
        <is>
          <t>ORD-1221</t>
        </is>
      </c>
      <c r="B108" s="10" t="n">
        <v>46108</v>
      </c>
      <c r="C108" t="inlineStr">
        <is>
          <t>CUST-039</t>
        </is>
      </c>
      <c r="D108" t="inlineStr">
        <is>
          <t>Eastern</t>
        </is>
      </c>
      <c r="E108" t="inlineStr">
        <is>
          <t>Small Appliances</t>
        </is>
      </c>
      <c r="F108" s="11" t="n">
        <v>170.7</v>
      </c>
      <c r="G108" s="11" t="n">
        <v>131.22</v>
      </c>
      <c r="H108" s="11" t="n">
        <v>10</v>
      </c>
      <c r="I108" s="11" t="n">
        <v>23.47</v>
      </c>
      <c r="J108" t="inlineStr">
        <is>
          <t>Delivered</t>
        </is>
      </c>
      <c r="K108" t="inlineStr">
        <is>
          <t>Card</t>
        </is>
      </c>
      <c r="L108" t="n">
        <v>2</v>
      </c>
      <c r="M108" s="11" t="n">
        <v>0</v>
      </c>
      <c r="N108" t="inlineStr">
        <is>
          <t>Repeat</t>
        </is>
      </c>
      <c r="O108" t="inlineStr">
        <is>
          <t>2026-03</t>
        </is>
      </c>
      <c r="P108" s="11" t="n">
        <v>170.7</v>
      </c>
      <c r="Q108" s="11" t="n">
        <v>39.47999999999999</v>
      </c>
      <c r="R108" s="11" t="n">
        <v>-13.47</v>
      </c>
      <c r="S108" s="11" t="n">
        <v>26.01</v>
      </c>
    </row>
    <row r="109">
      <c r="A109" t="inlineStr">
        <is>
          <t>ORD-1090</t>
        </is>
      </c>
      <c r="B109" s="10" t="n">
        <v>46109</v>
      </c>
      <c r="C109" t="inlineStr">
        <is>
          <t>CUST-015</t>
        </is>
      </c>
      <c r="D109" t="inlineStr">
        <is>
          <t>Northern</t>
        </is>
      </c>
      <c r="E109" t="inlineStr">
        <is>
          <t>Home &amp; Kitchen</t>
        </is>
      </c>
      <c r="F109" s="11" t="n">
        <v>95.18000000000001</v>
      </c>
      <c r="G109" s="11" t="n">
        <v>54.8</v>
      </c>
      <c r="H109" s="11" t="n">
        <v>15</v>
      </c>
      <c r="I109" s="11" t="n">
        <v>35.6</v>
      </c>
      <c r="J109" t="inlineStr">
        <is>
          <t>Delivered</t>
        </is>
      </c>
      <c r="K109" t="inlineStr">
        <is>
          <t>Bank Transfer</t>
        </is>
      </c>
      <c r="L109" t="n">
        <v>6</v>
      </c>
      <c r="M109" s="11" t="n">
        <v>0</v>
      </c>
      <c r="N109" t="inlineStr">
        <is>
          <t>Repeat</t>
        </is>
      </c>
      <c r="O109" t="inlineStr">
        <is>
          <t>2026-03</t>
        </is>
      </c>
      <c r="P109" s="11" t="n">
        <v>95.18000000000001</v>
      </c>
      <c r="Q109" s="11" t="n">
        <v>40.38000000000001</v>
      </c>
      <c r="R109" s="11" t="n">
        <v>-20.6</v>
      </c>
      <c r="S109" s="11" t="n">
        <v>19.78</v>
      </c>
    </row>
    <row r="110">
      <c r="A110" t="inlineStr">
        <is>
          <t>ORD-1112</t>
        </is>
      </c>
      <c r="B110" s="10" t="n">
        <v>46109</v>
      </c>
      <c r="C110" t="inlineStr">
        <is>
          <t>CUST-045</t>
        </is>
      </c>
      <c r="D110" t="inlineStr">
        <is>
          <t>Greater Accra</t>
        </is>
      </c>
      <c r="E110" t="inlineStr">
        <is>
          <t>Electronics Accessories</t>
        </is>
      </c>
      <c r="F110" s="11" t="n">
        <v>793.29</v>
      </c>
      <c r="G110" s="11" t="n">
        <v>493.38</v>
      </c>
      <c r="H110" s="11" t="n">
        <v>25</v>
      </c>
      <c r="I110" s="11" t="n">
        <v>27.7</v>
      </c>
      <c r="J110" t="inlineStr">
        <is>
          <t>Delivered</t>
        </is>
      </c>
      <c r="K110" t="inlineStr">
        <is>
          <t>Bank Transfer</t>
        </is>
      </c>
      <c r="L110" t="n">
        <v>2</v>
      </c>
      <c r="M110" s="11" t="n">
        <v>0</v>
      </c>
      <c r="N110" t="inlineStr">
        <is>
          <t>Repeat</t>
        </is>
      </c>
      <c r="O110" t="inlineStr">
        <is>
          <t>2026-03</t>
        </is>
      </c>
      <c r="P110" s="11" t="n">
        <v>793.29</v>
      </c>
      <c r="Q110" s="11" t="n">
        <v>299.91</v>
      </c>
      <c r="R110" s="11" t="n">
        <v>-2.7</v>
      </c>
      <c r="S110" s="11" t="n">
        <v>297.21</v>
      </c>
    </row>
    <row r="111">
      <c r="A111" t="inlineStr">
        <is>
          <t>ORD-1179</t>
        </is>
      </c>
      <c r="B111" s="10" t="n">
        <v>46109</v>
      </c>
      <c r="C111" t="inlineStr">
        <is>
          <t>CUST-072</t>
        </is>
      </c>
      <c r="D111" t="inlineStr">
        <is>
          <t>Western</t>
        </is>
      </c>
      <c r="E111" t="inlineStr">
        <is>
          <t>Small Appliances</t>
        </is>
      </c>
      <c r="F111" s="11" t="n">
        <v>1169.2</v>
      </c>
      <c r="G111" s="11" t="n">
        <v>743.41</v>
      </c>
      <c r="H111" s="11" t="n">
        <v>30</v>
      </c>
      <c r="I111" s="11" t="n">
        <v>43.01</v>
      </c>
      <c r="J111" t="inlineStr">
        <is>
          <t>Delivered</t>
        </is>
      </c>
      <c r="K111" t="inlineStr">
        <is>
          <t>Mobile Money</t>
        </is>
      </c>
      <c r="L111" t="n">
        <v>4</v>
      </c>
      <c r="M111" s="11" t="n">
        <v>0</v>
      </c>
      <c r="N111" t="inlineStr">
        <is>
          <t>Repeat</t>
        </is>
      </c>
      <c r="O111" t="inlineStr">
        <is>
          <t>2026-03</t>
        </is>
      </c>
      <c r="P111" s="11" t="n">
        <v>1169.2</v>
      </c>
      <c r="Q111" s="11" t="n">
        <v>425.7900000000001</v>
      </c>
      <c r="R111" s="11" t="n">
        <v>-13.01</v>
      </c>
      <c r="S111" s="11" t="n">
        <v>412.78</v>
      </c>
    </row>
    <row r="112">
      <c r="A112" t="inlineStr">
        <is>
          <t>ORD-1045</t>
        </is>
      </c>
      <c r="B112" s="10" t="n">
        <v>46110</v>
      </c>
      <c r="C112" t="inlineStr">
        <is>
          <t>CUST-002</t>
        </is>
      </c>
      <c r="D112" t="inlineStr">
        <is>
          <t>Greater Accra</t>
        </is>
      </c>
      <c r="E112" t="inlineStr">
        <is>
          <t>Stationery</t>
        </is>
      </c>
      <c r="F112" s="11" t="n">
        <v>150.68</v>
      </c>
      <c r="G112" s="11" t="n">
        <v>55.6</v>
      </c>
      <c r="H112" s="11" t="n">
        <v>20</v>
      </c>
      <c r="I112" s="11" t="n">
        <v>28.36</v>
      </c>
      <c r="J112" t="inlineStr">
        <is>
          <t>Delivered</t>
        </is>
      </c>
      <c r="K112" t="inlineStr">
        <is>
          <t>Cash on Delivery</t>
        </is>
      </c>
      <c r="L112" t="n">
        <v>2</v>
      </c>
      <c r="M112" s="11" t="n">
        <v>0</v>
      </c>
      <c r="N112" t="inlineStr">
        <is>
          <t>Repeat</t>
        </is>
      </c>
      <c r="O112" t="inlineStr">
        <is>
          <t>2026-03</t>
        </is>
      </c>
      <c r="P112" s="11" t="n">
        <v>150.68</v>
      </c>
      <c r="Q112" s="11" t="n">
        <v>95.08000000000001</v>
      </c>
      <c r="R112" s="11" t="n">
        <v>-8.359999999999999</v>
      </c>
      <c r="S112" s="11" t="n">
        <v>86.72</v>
      </c>
    </row>
    <row r="113">
      <c r="A113" t="inlineStr">
        <is>
          <t>ORD-1022</t>
        </is>
      </c>
      <c r="B113" s="10" t="n">
        <v>46111</v>
      </c>
      <c r="C113" t="inlineStr">
        <is>
          <t>CUST-041</t>
        </is>
      </c>
      <c r="D113" t="inlineStr">
        <is>
          <t>Central</t>
        </is>
      </c>
      <c r="E113" t="inlineStr">
        <is>
          <t>Home &amp; Kitchen</t>
        </is>
      </c>
      <c r="F113" s="11" t="n">
        <v>640.54</v>
      </c>
      <c r="G113" s="11" t="n">
        <v>295.17</v>
      </c>
      <c r="H113" s="11" t="n">
        <v>30</v>
      </c>
      <c r="I113" s="11" t="n">
        <v>38.9</v>
      </c>
      <c r="J113" t="inlineStr">
        <is>
          <t>Delivered</t>
        </is>
      </c>
      <c r="K113" t="inlineStr">
        <is>
          <t>Mobile Money</t>
        </is>
      </c>
      <c r="L113" t="n">
        <v>2</v>
      </c>
      <c r="M113" s="11" t="n">
        <v>0</v>
      </c>
      <c r="N113" t="inlineStr">
        <is>
          <t>Repeat</t>
        </is>
      </c>
      <c r="O113" t="inlineStr">
        <is>
          <t>2026-03</t>
        </is>
      </c>
      <c r="P113" s="11" t="n">
        <v>640.54</v>
      </c>
      <c r="Q113" s="11" t="n">
        <v>345.3699999999999</v>
      </c>
      <c r="R113" s="11" t="n">
        <v>-8.9</v>
      </c>
      <c r="S113" s="11" t="n">
        <v>336.47</v>
      </c>
    </row>
    <row r="114">
      <c r="A114" t="inlineStr">
        <is>
          <t>ORD-1238</t>
        </is>
      </c>
      <c r="B114" s="10" t="n">
        <v>46111</v>
      </c>
      <c r="C114" t="inlineStr">
        <is>
          <t>CUST-007</t>
        </is>
      </c>
      <c r="D114" t="inlineStr">
        <is>
          <t>Eastern</t>
        </is>
      </c>
      <c r="E114" t="inlineStr">
        <is>
          <t>Electronics Accessories</t>
        </is>
      </c>
      <c r="F114" s="11" t="n">
        <v>270.36</v>
      </c>
      <c r="G114" s="11" t="n">
        <v>144.29</v>
      </c>
      <c r="H114" s="11" t="n">
        <v>30</v>
      </c>
      <c r="I114" s="11" t="n">
        <v>43.69</v>
      </c>
      <c r="J114" t="inlineStr">
        <is>
          <t>Failed</t>
        </is>
      </c>
      <c r="K114" t="inlineStr">
        <is>
          <t>Mobile Money</t>
        </is>
      </c>
      <c r="L114" t="n">
        <v>7</v>
      </c>
      <c r="M114" s="11" t="n">
        <v>8.5</v>
      </c>
      <c r="N114" t="inlineStr">
        <is>
          <t>Repeat</t>
        </is>
      </c>
      <c r="O114" t="inlineStr">
        <is>
          <t>2026-03</t>
        </is>
      </c>
      <c r="P114" s="11" t="n">
        <v>0</v>
      </c>
      <c r="Q114" s="11" t="n">
        <v>0</v>
      </c>
      <c r="R114" s="11" t="n">
        <v>-13.69</v>
      </c>
      <c r="S114" s="11" t="n">
        <v>-22.19</v>
      </c>
    </row>
    <row r="115">
      <c r="A115" t="inlineStr">
        <is>
          <t>ORD-1110</t>
        </is>
      </c>
      <c r="B115" s="10" t="n">
        <v>46112</v>
      </c>
      <c r="C115" t="inlineStr">
        <is>
          <t>CUST-072</t>
        </is>
      </c>
      <c r="D115" t="inlineStr">
        <is>
          <t>Western</t>
        </is>
      </c>
      <c r="E115" t="inlineStr">
        <is>
          <t>Home &amp; Kitchen</t>
        </is>
      </c>
      <c r="F115" s="11" t="n">
        <v>507.56</v>
      </c>
      <c r="G115" s="11" t="n">
        <v>275.78</v>
      </c>
      <c r="H115" s="11" t="n">
        <v>25</v>
      </c>
      <c r="I115" s="11" t="n">
        <v>42.45</v>
      </c>
      <c r="J115" t="inlineStr">
        <is>
          <t>Returned</t>
        </is>
      </c>
      <c r="K115" t="inlineStr">
        <is>
          <t>Card</t>
        </is>
      </c>
      <c r="L115" t="n">
        <v>5</v>
      </c>
      <c r="M115" s="11" t="n">
        <v>19.47</v>
      </c>
      <c r="N115" t="inlineStr">
        <is>
          <t>Repeat</t>
        </is>
      </c>
      <c r="O115" t="inlineStr">
        <is>
          <t>2026-03</t>
        </is>
      </c>
      <c r="P115" s="11" t="n">
        <v>0</v>
      </c>
      <c r="Q115" s="11" t="n">
        <v>0</v>
      </c>
      <c r="R115" s="11" t="n">
        <v>-17.45</v>
      </c>
      <c r="S115" s="11" t="n">
        <v>-36.92</v>
      </c>
    </row>
    <row r="116">
      <c r="A116" t="inlineStr">
        <is>
          <t>ORD-1122</t>
        </is>
      </c>
      <c r="B116" s="10" t="n">
        <v>46112</v>
      </c>
      <c r="C116" t="inlineStr">
        <is>
          <t>CUST-045</t>
        </is>
      </c>
      <c r="D116" t="inlineStr">
        <is>
          <t>Greater Accra</t>
        </is>
      </c>
      <c r="E116" t="inlineStr">
        <is>
          <t>Stationery</t>
        </is>
      </c>
      <c r="F116" s="11" t="n">
        <v>150.13</v>
      </c>
      <c r="G116" s="11" t="n">
        <v>74.56999999999999</v>
      </c>
      <c r="H116" s="11" t="n">
        <v>15</v>
      </c>
      <c r="I116" s="11" t="n">
        <v>18.03</v>
      </c>
      <c r="J116" t="inlineStr">
        <is>
          <t>Delivered</t>
        </is>
      </c>
      <c r="K116" t="inlineStr">
        <is>
          <t>Mobile Money</t>
        </is>
      </c>
      <c r="L116" t="n">
        <v>1</v>
      </c>
      <c r="M116" s="11" t="n">
        <v>0</v>
      </c>
      <c r="N116" t="inlineStr">
        <is>
          <t>Repeat</t>
        </is>
      </c>
      <c r="O116" t="inlineStr">
        <is>
          <t>2026-03</t>
        </is>
      </c>
      <c r="P116" s="11" t="n">
        <v>150.13</v>
      </c>
      <c r="Q116" s="11" t="n">
        <v>75.56</v>
      </c>
      <c r="R116" s="11" t="n">
        <v>-3.03</v>
      </c>
      <c r="S116" s="11" t="n">
        <v>72.53</v>
      </c>
    </row>
    <row r="117">
      <c r="A117" t="inlineStr">
        <is>
          <t>ORD-1210</t>
        </is>
      </c>
      <c r="B117" s="10" t="n">
        <v>46112</v>
      </c>
      <c r="C117" t="inlineStr">
        <is>
          <t>CUST-016</t>
        </is>
      </c>
      <c r="D117" t="inlineStr">
        <is>
          <t>Northern</t>
        </is>
      </c>
      <c r="E117" t="inlineStr">
        <is>
          <t>Electronics Accessories</t>
        </is>
      </c>
      <c r="F117" s="11" t="n">
        <v>520.55</v>
      </c>
      <c r="G117" s="11" t="n">
        <v>320.24</v>
      </c>
      <c r="H117" s="11" t="n">
        <v>15</v>
      </c>
      <c r="I117" s="11" t="n">
        <v>35.35</v>
      </c>
      <c r="J117" t="inlineStr">
        <is>
          <t>Failed</t>
        </is>
      </c>
      <c r="K117" t="inlineStr">
        <is>
          <t>Bank Transfer</t>
        </is>
      </c>
      <c r="L117" t="n">
        <v>9</v>
      </c>
      <c r="M117" s="11" t="n">
        <v>19.45</v>
      </c>
      <c r="N117" t="inlineStr">
        <is>
          <t>Repeat</t>
        </is>
      </c>
      <c r="O117" t="inlineStr">
        <is>
          <t>2026-03</t>
        </is>
      </c>
      <c r="P117" s="11" t="n">
        <v>0</v>
      </c>
      <c r="Q117" s="11" t="n">
        <v>0</v>
      </c>
      <c r="R117" s="11" t="n">
        <v>-20.35</v>
      </c>
      <c r="S117" s="11" t="n">
        <v>-39.8</v>
      </c>
    </row>
    <row r="118">
      <c r="A118" t="inlineStr">
        <is>
          <t>ORD-1223</t>
        </is>
      </c>
      <c r="B118" s="10" t="n">
        <v>46114</v>
      </c>
      <c r="C118" t="inlineStr">
        <is>
          <t>CUST-040</t>
        </is>
      </c>
      <c r="D118" t="inlineStr">
        <is>
          <t>Northern</t>
        </is>
      </c>
      <c r="E118" t="inlineStr">
        <is>
          <t>Home &amp; Kitchen</t>
        </is>
      </c>
      <c r="F118" s="11" t="n">
        <v>357.69</v>
      </c>
      <c r="G118" s="11" t="n">
        <v>189.4</v>
      </c>
      <c r="H118" s="11" t="n">
        <v>10</v>
      </c>
      <c r="I118" s="11" t="n">
        <v>30.03</v>
      </c>
      <c r="J118" t="inlineStr">
        <is>
          <t>Delivered</t>
        </is>
      </c>
      <c r="K118" t="inlineStr">
        <is>
          <t>Cash on Delivery</t>
        </is>
      </c>
      <c r="L118" t="n">
        <v>4</v>
      </c>
      <c r="M118" s="11" t="n">
        <v>0</v>
      </c>
      <c r="N118" t="inlineStr">
        <is>
          <t>Repeat</t>
        </is>
      </c>
      <c r="O118" t="inlineStr">
        <is>
          <t>2026-04</t>
        </is>
      </c>
      <c r="P118" s="11" t="n">
        <v>357.69</v>
      </c>
      <c r="Q118" s="11" t="n">
        <v>168.29</v>
      </c>
      <c r="R118" s="11" t="n">
        <v>-20.03</v>
      </c>
      <c r="S118" s="11" t="n">
        <v>148.26</v>
      </c>
    </row>
    <row r="119">
      <c r="A119" t="inlineStr">
        <is>
          <t>ORD-1102</t>
        </is>
      </c>
      <c r="B119" s="10" t="n">
        <v>46115</v>
      </c>
      <c r="C119" t="inlineStr">
        <is>
          <t>CUST-066</t>
        </is>
      </c>
      <c r="D119" t="inlineStr">
        <is>
          <t>Central</t>
        </is>
      </c>
      <c r="E119" t="inlineStr">
        <is>
          <t>Personal Care</t>
        </is>
      </c>
      <c r="F119" s="11" t="n">
        <v>149.3</v>
      </c>
      <c r="G119" s="11" t="n">
        <v>65.67</v>
      </c>
      <c r="H119" s="11" t="n">
        <v>30</v>
      </c>
      <c r="I119" s="11" t="n">
        <v>37.43</v>
      </c>
      <c r="J119" t="inlineStr">
        <is>
          <t>Delivered</t>
        </is>
      </c>
      <c r="K119" t="inlineStr">
        <is>
          <t>Card</t>
        </is>
      </c>
      <c r="L119" t="n">
        <v>4</v>
      </c>
      <c r="M119" s="11" t="n">
        <v>0</v>
      </c>
      <c r="N119" t="inlineStr">
        <is>
          <t>Repeat</t>
        </is>
      </c>
      <c r="O119" t="inlineStr">
        <is>
          <t>2026-04</t>
        </is>
      </c>
      <c r="P119" s="11" t="n">
        <v>149.3</v>
      </c>
      <c r="Q119" s="11" t="n">
        <v>83.63000000000001</v>
      </c>
      <c r="R119" s="11" t="n">
        <v>-7.43</v>
      </c>
      <c r="S119" s="11" t="n">
        <v>76.2</v>
      </c>
    </row>
    <row r="120">
      <c r="A120" t="inlineStr">
        <is>
          <t>ORD-1147</t>
        </is>
      </c>
      <c r="B120" s="10" t="n">
        <v>46115</v>
      </c>
      <c r="C120" t="inlineStr">
        <is>
          <t>CUST-009</t>
        </is>
      </c>
      <c r="D120" t="inlineStr">
        <is>
          <t>Ashanti</t>
        </is>
      </c>
      <c r="E120" t="inlineStr">
        <is>
          <t>Small Appliances</t>
        </is>
      </c>
      <c r="F120" s="11" t="n">
        <v>884.51</v>
      </c>
      <c r="G120" s="11" t="n">
        <v>655.91</v>
      </c>
      <c r="H120" s="11" t="n">
        <v>30</v>
      </c>
      <c r="I120" s="11" t="n">
        <v>40.54</v>
      </c>
      <c r="J120" t="inlineStr">
        <is>
          <t>Delivered</t>
        </is>
      </c>
      <c r="K120" t="inlineStr">
        <is>
          <t>Mobile Money</t>
        </is>
      </c>
      <c r="L120" t="n">
        <v>3</v>
      </c>
      <c r="M120" s="11" t="n">
        <v>0</v>
      </c>
      <c r="N120" t="inlineStr">
        <is>
          <t>One-time</t>
        </is>
      </c>
      <c r="O120" t="inlineStr">
        <is>
          <t>2026-04</t>
        </is>
      </c>
      <c r="P120" s="11" t="n">
        <v>884.51</v>
      </c>
      <c r="Q120" s="11" t="n">
        <v>228.6</v>
      </c>
      <c r="R120" s="11" t="n">
        <v>-10.54</v>
      </c>
      <c r="S120" s="11" t="n">
        <v>218.06</v>
      </c>
    </row>
    <row r="121">
      <c r="A121" t="inlineStr">
        <is>
          <t>ORD-1164</t>
        </is>
      </c>
      <c r="B121" s="10" t="n">
        <v>46115</v>
      </c>
      <c r="C121" t="inlineStr">
        <is>
          <t>CUST-071</t>
        </is>
      </c>
      <c r="D121" t="inlineStr">
        <is>
          <t>Greater Accra</t>
        </is>
      </c>
      <c r="E121" t="inlineStr">
        <is>
          <t>Personal Care</t>
        </is>
      </c>
      <c r="F121" s="11" t="n">
        <v>153.54</v>
      </c>
      <c r="G121" s="11" t="n">
        <v>88.58</v>
      </c>
      <c r="H121" s="11" t="n">
        <v>15</v>
      </c>
      <c r="I121" s="11" t="n">
        <v>23.12</v>
      </c>
      <c r="J121" t="inlineStr">
        <is>
          <t>Delivered</t>
        </is>
      </c>
      <c r="K121" t="inlineStr">
        <is>
          <t>Mobile Money</t>
        </is>
      </c>
      <c r="L121" t="n">
        <v>3</v>
      </c>
      <c r="M121" s="11" t="n">
        <v>0</v>
      </c>
      <c r="N121" t="inlineStr">
        <is>
          <t>Repeat</t>
        </is>
      </c>
      <c r="O121" t="inlineStr">
        <is>
          <t>2026-04</t>
        </is>
      </c>
      <c r="P121" s="11" t="n">
        <v>153.54</v>
      </c>
      <c r="Q121" s="11" t="n">
        <v>64.95999999999999</v>
      </c>
      <c r="R121" s="11" t="n">
        <v>-8.119999999999999</v>
      </c>
      <c r="S121" s="11" t="n">
        <v>56.84</v>
      </c>
    </row>
    <row r="122">
      <c r="A122" t="inlineStr">
        <is>
          <t>ORD-1158</t>
        </is>
      </c>
      <c r="B122" s="10" t="n">
        <v>46116</v>
      </c>
      <c r="C122" t="inlineStr">
        <is>
          <t>CUST-047</t>
        </is>
      </c>
      <c r="D122" t="inlineStr">
        <is>
          <t>Greater Accra</t>
        </is>
      </c>
      <c r="E122" t="inlineStr">
        <is>
          <t>Home &amp; Kitchen</t>
        </is>
      </c>
      <c r="F122" s="11" t="n">
        <v>390.35</v>
      </c>
      <c r="G122" s="11" t="n">
        <v>214.27</v>
      </c>
      <c r="H122" s="11" t="n">
        <v>25</v>
      </c>
      <c r="I122" s="11" t="n">
        <v>36.49</v>
      </c>
      <c r="J122" t="inlineStr">
        <is>
          <t>Delivered</t>
        </is>
      </c>
      <c r="K122" t="inlineStr">
        <is>
          <t>Cash on Delivery</t>
        </is>
      </c>
      <c r="L122" t="n">
        <v>3</v>
      </c>
      <c r="M122" s="11" t="n">
        <v>0</v>
      </c>
      <c r="N122" t="inlineStr">
        <is>
          <t>Repeat</t>
        </is>
      </c>
      <c r="O122" t="inlineStr">
        <is>
          <t>2026-04</t>
        </is>
      </c>
      <c r="P122" s="11" t="n">
        <v>390.35</v>
      </c>
      <c r="Q122" s="11" t="n">
        <v>176.08</v>
      </c>
      <c r="R122" s="11" t="n">
        <v>-11.49</v>
      </c>
      <c r="S122" s="11" t="n">
        <v>164.59</v>
      </c>
    </row>
    <row r="123">
      <c r="A123" t="inlineStr">
        <is>
          <t>ORD-1249</t>
        </is>
      </c>
      <c r="B123" s="10" t="n">
        <v>46116</v>
      </c>
      <c r="C123" t="inlineStr">
        <is>
          <t>CUST-015</t>
        </is>
      </c>
      <c r="D123" t="inlineStr">
        <is>
          <t>Northern</t>
        </is>
      </c>
      <c r="E123" t="inlineStr">
        <is>
          <t>Small Appliances</t>
        </is>
      </c>
      <c r="F123" s="11" t="n">
        <v>419.73</v>
      </c>
      <c r="G123" s="11" t="n">
        <v>327.18</v>
      </c>
      <c r="H123" s="11" t="n">
        <v>15</v>
      </c>
      <c r="I123" s="11" t="n">
        <v>33.82</v>
      </c>
      <c r="J123" t="inlineStr">
        <is>
          <t>Delivered</t>
        </is>
      </c>
      <c r="K123" t="inlineStr">
        <is>
          <t>Bank Transfer</t>
        </is>
      </c>
      <c r="L123" t="n">
        <v>4</v>
      </c>
      <c r="M123" s="11" t="n">
        <v>0</v>
      </c>
      <c r="N123" t="inlineStr">
        <is>
          <t>Repeat</t>
        </is>
      </c>
      <c r="O123" t="inlineStr">
        <is>
          <t>2026-04</t>
        </is>
      </c>
      <c r="P123" s="11" t="n">
        <v>419.73</v>
      </c>
      <c r="Q123" s="11" t="n">
        <v>92.55000000000001</v>
      </c>
      <c r="R123" s="11" t="n">
        <v>-18.82</v>
      </c>
      <c r="S123" s="11" t="n">
        <v>73.73</v>
      </c>
    </row>
    <row r="124">
      <c r="A124" t="inlineStr">
        <is>
          <t>ORD-1182</t>
        </is>
      </c>
      <c r="B124" s="10" t="n">
        <v>46117</v>
      </c>
      <c r="C124" t="inlineStr">
        <is>
          <t>CUST-043</t>
        </is>
      </c>
      <c r="D124" t="inlineStr">
        <is>
          <t>Greater Accra</t>
        </is>
      </c>
      <c r="E124" t="inlineStr">
        <is>
          <t>Personal Care</t>
        </is>
      </c>
      <c r="F124" s="11" t="n">
        <v>294.47</v>
      </c>
      <c r="G124" s="11" t="n">
        <v>148.73</v>
      </c>
      <c r="H124" s="11" t="n">
        <v>10</v>
      </c>
      <c r="I124" s="11" t="n">
        <v>17.97</v>
      </c>
      <c r="J124" t="inlineStr">
        <is>
          <t>Delivered</t>
        </is>
      </c>
      <c r="K124" t="inlineStr">
        <is>
          <t>Cash on Delivery</t>
        </is>
      </c>
      <c r="L124" t="n">
        <v>2</v>
      </c>
      <c r="M124" s="11" t="n">
        <v>0</v>
      </c>
      <c r="N124" t="inlineStr">
        <is>
          <t>Repeat</t>
        </is>
      </c>
      <c r="O124" t="inlineStr">
        <is>
          <t>2026-04</t>
        </is>
      </c>
      <c r="P124" s="11" t="n">
        <v>294.47</v>
      </c>
      <c r="Q124" s="11" t="n">
        <v>145.74</v>
      </c>
      <c r="R124" s="11" t="n">
        <v>-7.97</v>
      </c>
      <c r="S124" s="11" t="n">
        <v>137.77</v>
      </c>
    </row>
    <row r="125">
      <c r="A125" t="inlineStr">
        <is>
          <t>ORD-1202</t>
        </is>
      </c>
      <c r="B125" s="10" t="n">
        <v>46117</v>
      </c>
      <c r="C125" t="inlineStr">
        <is>
          <t>CUST-079</t>
        </is>
      </c>
      <c r="D125" t="inlineStr">
        <is>
          <t>Greater Accra</t>
        </is>
      </c>
      <c r="E125" t="inlineStr">
        <is>
          <t>Electronics Accessories</t>
        </is>
      </c>
      <c r="F125" s="11" t="n">
        <v>865.04</v>
      </c>
      <c r="G125" s="11" t="n">
        <v>524.28</v>
      </c>
      <c r="H125" s="11" t="n">
        <v>25</v>
      </c>
      <c r="I125" s="11" t="n">
        <v>34.48</v>
      </c>
      <c r="J125" t="inlineStr">
        <is>
          <t>Delivered</t>
        </is>
      </c>
      <c r="K125" t="inlineStr">
        <is>
          <t>Mobile Money</t>
        </is>
      </c>
      <c r="L125" t="n">
        <v>2</v>
      </c>
      <c r="M125" s="11" t="n">
        <v>0</v>
      </c>
      <c r="N125" t="inlineStr">
        <is>
          <t>Repeat</t>
        </is>
      </c>
      <c r="O125" t="inlineStr">
        <is>
          <t>2026-04</t>
        </is>
      </c>
      <c r="P125" s="11" t="n">
        <v>865.04</v>
      </c>
      <c r="Q125" s="11" t="n">
        <v>340.76</v>
      </c>
      <c r="R125" s="11" t="n">
        <v>-9.48</v>
      </c>
      <c r="S125" s="11" t="n">
        <v>331.28</v>
      </c>
    </row>
    <row r="126">
      <c r="A126" t="inlineStr">
        <is>
          <t>ORD-1142</t>
        </is>
      </c>
      <c r="B126" s="10" t="n">
        <v>46118</v>
      </c>
      <c r="C126" t="inlineStr">
        <is>
          <t>CUST-029</t>
        </is>
      </c>
      <c r="D126" t="inlineStr">
        <is>
          <t>Eastern</t>
        </is>
      </c>
      <c r="E126" t="inlineStr">
        <is>
          <t>Electronics Accessories</t>
        </is>
      </c>
      <c r="F126" s="11" t="n">
        <v>843.28</v>
      </c>
      <c r="G126" s="11" t="n">
        <v>565.88</v>
      </c>
      <c r="H126" s="11" t="n">
        <v>20</v>
      </c>
      <c r="I126" s="11" t="n">
        <v>33.91</v>
      </c>
      <c r="J126" t="inlineStr">
        <is>
          <t>Delivered</t>
        </is>
      </c>
      <c r="K126" t="inlineStr">
        <is>
          <t>Mobile Money</t>
        </is>
      </c>
      <c r="L126" t="n">
        <v>3</v>
      </c>
      <c r="M126" s="11" t="n">
        <v>0</v>
      </c>
      <c r="N126" t="inlineStr">
        <is>
          <t>One-time</t>
        </is>
      </c>
      <c r="O126" t="inlineStr">
        <is>
          <t>2026-04</t>
        </is>
      </c>
      <c r="P126" s="11" t="n">
        <v>843.28</v>
      </c>
      <c r="Q126" s="11" t="n">
        <v>277.4</v>
      </c>
      <c r="R126" s="11" t="n">
        <v>-13.91</v>
      </c>
      <c r="S126" s="11" t="n">
        <v>263.49</v>
      </c>
    </row>
    <row r="127">
      <c r="A127" t="inlineStr">
        <is>
          <t>ORD-1043</t>
        </is>
      </c>
      <c r="B127" s="10" t="n">
        <v>46119</v>
      </c>
      <c r="C127" t="inlineStr">
        <is>
          <t>CUST-051</t>
        </is>
      </c>
      <c r="D127" t="inlineStr">
        <is>
          <t>Ashanti</t>
        </is>
      </c>
      <c r="E127" t="inlineStr">
        <is>
          <t>Small Appliances</t>
        </is>
      </c>
      <c r="F127" s="11" t="n">
        <v>417.75</v>
      </c>
      <c r="G127" s="11" t="n">
        <v>295.17</v>
      </c>
      <c r="H127" s="11" t="n">
        <v>15</v>
      </c>
      <c r="I127" s="11" t="n">
        <v>21.02</v>
      </c>
      <c r="J127" t="inlineStr">
        <is>
          <t>Delivered</t>
        </is>
      </c>
      <c r="K127" t="inlineStr">
        <is>
          <t>Card</t>
        </is>
      </c>
      <c r="L127" t="n">
        <v>2</v>
      </c>
      <c r="M127" s="11" t="n">
        <v>0</v>
      </c>
      <c r="N127" t="inlineStr">
        <is>
          <t>Repeat</t>
        </is>
      </c>
      <c r="O127" t="inlineStr">
        <is>
          <t>2026-04</t>
        </is>
      </c>
      <c r="P127" s="11" t="n">
        <v>417.75</v>
      </c>
      <c r="Q127" s="11" t="n">
        <v>122.58</v>
      </c>
      <c r="R127" s="11" t="n">
        <v>-6.02</v>
      </c>
      <c r="S127" s="11" t="n">
        <v>116.56</v>
      </c>
    </row>
    <row r="128">
      <c r="A128" t="inlineStr">
        <is>
          <t>ORD-1243</t>
        </is>
      </c>
      <c r="B128" s="10" t="n">
        <v>46121</v>
      </c>
      <c r="C128" t="inlineStr">
        <is>
          <t>CUST-002</t>
        </is>
      </c>
      <c r="D128" t="inlineStr">
        <is>
          <t>Greater Accra</t>
        </is>
      </c>
      <c r="E128" t="inlineStr">
        <is>
          <t>Home &amp; Kitchen</t>
        </is>
      </c>
      <c r="F128" s="11" t="n">
        <v>282.68</v>
      </c>
      <c r="G128" s="11" t="n">
        <v>128.69</v>
      </c>
      <c r="H128" s="11" t="n">
        <v>30</v>
      </c>
      <c r="I128" s="11" t="n">
        <v>41.05</v>
      </c>
      <c r="J128" t="inlineStr">
        <is>
          <t>Returned</t>
        </is>
      </c>
      <c r="K128" t="inlineStr">
        <is>
          <t>Cash on Delivery</t>
        </is>
      </c>
      <c r="L128" t="n">
        <v>2</v>
      </c>
      <c r="M128" s="11" t="n">
        <v>19.65</v>
      </c>
      <c r="N128" t="inlineStr">
        <is>
          <t>Repeat</t>
        </is>
      </c>
      <c r="O128" t="inlineStr">
        <is>
          <t>2026-04</t>
        </is>
      </c>
      <c r="P128" s="11" t="n">
        <v>0</v>
      </c>
      <c r="Q128" s="11" t="n">
        <v>0</v>
      </c>
      <c r="R128" s="11" t="n">
        <v>-11.05</v>
      </c>
      <c r="S128" s="11" t="n">
        <v>-30.7</v>
      </c>
    </row>
    <row r="129">
      <c r="A129" t="inlineStr">
        <is>
          <t>ORD-1237</t>
        </is>
      </c>
      <c r="B129" s="10" t="n">
        <v>46122</v>
      </c>
      <c r="C129" t="inlineStr">
        <is>
          <t>CUST-087</t>
        </is>
      </c>
      <c r="D129" t="inlineStr">
        <is>
          <t>Western</t>
        </is>
      </c>
      <c r="E129" t="inlineStr">
        <is>
          <t>Small Appliances</t>
        </is>
      </c>
      <c r="F129" s="11" t="n">
        <v>597.84</v>
      </c>
      <c r="G129" s="11" t="n">
        <v>440.02</v>
      </c>
      <c r="H129" s="11" t="n">
        <v>15</v>
      </c>
      <c r="I129" s="11" t="n">
        <v>31.9</v>
      </c>
      <c r="J129" t="inlineStr">
        <is>
          <t>Delivered</t>
        </is>
      </c>
      <c r="K129" t="inlineStr">
        <is>
          <t>Mobile Money</t>
        </is>
      </c>
      <c r="L129" t="n">
        <v>2</v>
      </c>
      <c r="M129" s="11" t="n">
        <v>0</v>
      </c>
      <c r="N129" t="inlineStr">
        <is>
          <t>Repeat</t>
        </is>
      </c>
      <c r="O129" t="inlineStr">
        <is>
          <t>2026-04</t>
        </is>
      </c>
      <c r="P129" s="11" t="n">
        <v>597.84</v>
      </c>
      <c r="Q129" s="11" t="n">
        <v>157.8200000000001</v>
      </c>
      <c r="R129" s="11" t="n">
        <v>-16.9</v>
      </c>
      <c r="S129" s="11" t="n">
        <v>140.92</v>
      </c>
    </row>
    <row r="130">
      <c r="A130" t="inlineStr">
        <is>
          <t>ORD-1175</t>
        </is>
      </c>
      <c r="B130" s="10" t="n">
        <v>46123</v>
      </c>
      <c r="C130" t="inlineStr">
        <is>
          <t>CUST-065</t>
        </is>
      </c>
      <c r="D130" t="inlineStr">
        <is>
          <t>Eastern</t>
        </is>
      </c>
      <c r="E130" t="inlineStr">
        <is>
          <t>Home &amp; Kitchen</t>
        </is>
      </c>
      <c r="F130" s="11" t="n">
        <v>194.44</v>
      </c>
      <c r="G130" s="11" t="n">
        <v>105.97</v>
      </c>
      <c r="H130" s="11" t="n">
        <v>10</v>
      </c>
      <c r="I130" s="11" t="n">
        <v>16.51</v>
      </c>
      <c r="J130" t="inlineStr">
        <is>
          <t>Delivered</t>
        </is>
      </c>
      <c r="K130" t="inlineStr">
        <is>
          <t>Card</t>
        </is>
      </c>
      <c r="L130" t="n">
        <v>1</v>
      </c>
      <c r="M130" s="11" t="n">
        <v>0</v>
      </c>
      <c r="N130" t="inlineStr">
        <is>
          <t>One-time</t>
        </is>
      </c>
      <c r="O130" t="inlineStr">
        <is>
          <t>2026-04</t>
        </is>
      </c>
      <c r="P130" s="11" t="n">
        <v>194.44</v>
      </c>
      <c r="Q130" s="11" t="n">
        <v>88.47</v>
      </c>
      <c r="R130" s="11" t="n">
        <v>-6.51</v>
      </c>
      <c r="S130" s="11" t="n">
        <v>81.95999999999999</v>
      </c>
    </row>
    <row r="131">
      <c r="A131" t="inlineStr">
        <is>
          <t>ORD-1121</t>
        </is>
      </c>
      <c r="B131" s="10" t="n">
        <v>46124</v>
      </c>
      <c r="C131" t="inlineStr">
        <is>
          <t>CUST-040</t>
        </is>
      </c>
      <c r="D131" t="inlineStr">
        <is>
          <t>Northern</t>
        </is>
      </c>
      <c r="E131" t="inlineStr">
        <is>
          <t>Stationery</t>
        </is>
      </c>
      <c r="F131" s="11" t="n">
        <v>51.56</v>
      </c>
      <c r="G131" s="11" t="n">
        <v>25.28</v>
      </c>
      <c r="H131" s="11" t="n">
        <v>10</v>
      </c>
      <c r="I131" s="11" t="n">
        <v>27.1</v>
      </c>
      <c r="J131" t="inlineStr">
        <is>
          <t>Delivered</t>
        </is>
      </c>
      <c r="K131" t="inlineStr">
        <is>
          <t>Cash on Delivery</t>
        </is>
      </c>
      <c r="L131" t="n">
        <v>4</v>
      </c>
      <c r="M131" s="11" t="n">
        <v>0</v>
      </c>
      <c r="N131" t="inlineStr">
        <is>
          <t>Repeat</t>
        </is>
      </c>
      <c r="O131" t="inlineStr">
        <is>
          <t>2026-04</t>
        </is>
      </c>
      <c r="P131" s="11" t="n">
        <v>51.56</v>
      </c>
      <c r="Q131" s="11" t="n">
        <v>26.28</v>
      </c>
      <c r="R131" s="11" t="n">
        <v>-17.1</v>
      </c>
      <c r="S131" s="11" t="n">
        <v>9.18</v>
      </c>
    </row>
    <row r="132">
      <c r="A132" t="inlineStr">
        <is>
          <t>ORD-1232</t>
        </is>
      </c>
      <c r="B132" s="10" t="n">
        <v>46124</v>
      </c>
      <c r="C132" t="inlineStr">
        <is>
          <t>CUST-011</t>
        </is>
      </c>
      <c r="D132" t="inlineStr">
        <is>
          <t>Greater Accra</t>
        </is>
      </c>
      <c r="E132" t="inlineStr">
        <is>
          <t>Home &amp; Kitchen</t>
        </is>
      </c>
      <c r="F132" s="11" t="n">
        <v>293.62</v>
      </c>
      <c r="G132" s="11" t="n">
        <v>159.05</v>
      </c>
      <c r="H132" s="11" t="n">
        <v>15</v>
      </c>
      <c r="I132" s="11" t="n">
        <v>20</v>
      </c>
      <c r="J132" t="inlineStr">
        <is>
          <t>Delivered</t>
        </is>
      </c>
      <c r="K132" t="inlineStr">
        <is>
          <t>Mobile Money</t>
        </is>
      </c>
      <c r="L132" t="n">
        <v>2</v>
      </c>
      <c r="M132" s="11" t="n">
        <v>0</v>
      </c>
      <c r="N132" t="inlineStr">
        <is>
          <t>Repeat</t>
        </is>
      </c>
      <c r="O132" t="inlineStr">
        <is>
          <t>2026-04</t>
        </is>
      </c>
      <c r="P132" s="11" t="n">
        <v>293.62</v>
      </c>
      <c r="Q132" s="11" t="n">
        <v>134.57</v>
      </c>
      <c r="R132" s="11" t="n">
        <v>-5</v>
      </c>
      <c r="S132" s="11" t="n">
        <v>129.57</v>
      </c>
    </row>
    <row r="133">
      <c r="A133" t="inlineStr">
        <is>
          <t>ORD-1067</t>
        </is>
      </c>
      <c r="B133" s="10" t="n">
        <v>46125</v>
      </c>
      <c r="C133" t="inlineStr">
        <is>
          <t>CUST-071</t>
        </is>
      </c>
      <c r="D133" t="inlineStr">
        <is>
          <t>Greater Accra</t>
        </is>
      </c>
      <c r="E133" t="inlineStr">
        <is>
          <t>Electronics Accessories</t>
        </is>
      </c>
      <c r="F133" s="11" t="n">
        <v>152.21</v>
      </c>
      <c r="G133" s="11" t="n">
        <v>86.06</v>
      </c>
      <c r="H133" s="11" t="n">
        <v>10</v>
      </c>
      <c r="I133" s="11" t="n">
        <v>21.7</v>
      </c>
      <c r="J133" t="inlineStr">
        <is>
          <t>Delivered</t>
        </is>
      </c>
      <c r="K133" t="inlineStr">
        <is>
          <t>Cash on Delivery</t>
        </is>
      </c>
      <c r="L133" t="n">
        <v>1</v>
      </c>
      <c r="M133" s="11" t="n">
        <v>0</v>
      </c>
      <c r="N133" t="inlineStr">
        <is>
          <t>Repeat</t>
        </is>
      </c>
      <c r="O133" t="inlineStr">
        <is>
          <t>2026-04</t>
        </is>
      </c>
      <c r="P133" s="11" t="n">
        <v>152.21</v>
      </c>
      <c r="Q133" s="11" t="n">
        <v>66.15000000000001</v>
      </c>
      <c r="R133" s="11" t="n">
        <v>-11.7</v>
      </c>
      <c r="S133" s="11" t="n">
        <v>54.45</v>
      </c>
    </row>
    <row r="134">
      <c r="A134" t="inlineStr">
        <is>
          <t>ORD-1177</t>
        </is>
      </c>
      <c r="B134" s="10" t="n">
        <v>46126</v>
      </c>
      <c r="C134" t="inlineStr">
        <is>
          <t>CUST-047</t>
        </is>
      </c>
      <c r="D134" t="inlineStr">
        <is>
          <t>Greater Accra</t>
        </is>
      </c>
      <c r="E134" t="inlineStr">
        <is>
          <t>Electronics Accessories</t>
        </is>
      </c>
      <c r="F134" s="11" t="n">
        <v>121.95</v>
      </c>
      <c r="G134" s="11" t="n">
        <v>75.75</v>
      </c>
      <c r="H134" s="11" t="n">
        <v>20</v>
      </c>
      <c r="I134" s="11" t="n">
        <v>27.53</v>
      </c>
      <c r="J134" t="inlineStr">
        <is>
          <t>Delivered</t>
        </is>
      </c>
      <c r="K134" t="inlineStr">
        <is>
          <t>Cash on Delivery</t>
        </is>
      </c>
      <c r="L134" t="n">
        <v>2</v>
      </c>
      <c r="M134" s="11" t="n">
        <v>0</v>
      </c>
      <c r="N134" t="inlineStr">
        <is>
          <t>Repeat</t>
        </is>
      </c>
      <c r="O134" t="inlineStr">
        <is>
          <t>2026-04</t>
        </is>
      </c>
      <c r="P134" s="11" t="n">
        <v>121.95</v>
      </c>
      <c r="Q134" s="11" t="n">
        <v>46.2</v>
      </c>
      <c r="R134" s="11" t="n">
        <v>-7.53</v>
      </c>
      <c r="S134" s="11" t="n">
        <v>38.67</v>
      </c>
    </row>
    <row r="135">
      <c r="A135" t="inlineStr">
        <is>
          <t>ORD-1075</t>
        </is>
      </c>
      <c r="B135" s="10" t="n">
        <v>46128</v>
      </c>
      <c r="C135" t="inlineStr">
        <is>
          <t>CUST-006</t>
        </is>
      </c>
      <c r="D135" t="inlineStr">
        <is>
          <t>Central</t>
        </is>
      </c>
      <c r="E135" t="inlineStr">
        <is>
          <t>Home &amp; Kitchen</t>
        </is>
      </c>
      <c r="F135" s="11" t="n">
        <v>333.79</v>
      </c>
      <c r="G135" s="11" t="n">
        <v>201.75</v>
      </c>
      <c r="H135" s="11" t="n">
        <v>25</v>
      </c>
      <c r="I135" s="11" t="n">
        <v>35.86</v>
      </c>
      <c r="J135" t="inlineStr">
        <is>
          <t>Delivered</t>
        </is>
      </c>
      <c r="K135" t="inlineStr">
        <is>
          <t>Card</t>
        </is>
      </c>
      <c r="L135" t="n">
        <v>4</v>
      </c>
      <c r="M135" s="11" t="n">
        <v>0</v>
      </c>
      <c r="N135" t="inlineStr">
        <is>
          <t>One-time</t>
        </is>
      </c>
      <c r="O135" t="inlineStr">
        <is>
          <t>2026-04</t>
        </is>
      </c>
      <c r="P135" s="11" t="n">
        <v>333.79</v>
      </c>
      <c r="Q135" s="11" t="n">
        <v>132.04</v>
      </c>
      <c r="R135" s="11" t="n">
        <v>-10.86</v>
      </c>
      <c r="S135" s="11" t="n">
        <v>121.18</v>
      </c>
    </row>
    <row r="136">
      <c r="A136" t="inlineStr">
        <is>
          <t>ORD-1230</t>
        </is>
      </c>
      <c r="B136" s="10" t="n">
        <v>46128</v>
      </c>
      <c r="C136" t="inlineStr">
        <is>
          <t>CUST-002</t>
        </is>
      </c>
      <c r="D136" t="inlineStr">
        <is>
          <t>Greater Accra</t>
        </is>
      </c>
      <c r="E136" t="inlineStr">
        <is>
          <t>Electronics Accessories</t>
        </is>
      </c>
      <c r="F136" s="11" t="n">
        <v>672.2</v>
      </c>
      <c r="G136" s="11" t="n">
        <v>414.37</v>
      </c>
      <c r="H136" s="11" t="n">
        <v>20</v>
      </c>
      <c r="I136" s="11" t="n">
        <v>22.17</v>
      </c>
      <c r="J136" t="inlineStr">
        <is>
          <t>Delivered</t>
        </is>
      </c>
      <c r="K136" t="inlineStr">
        <is>
          <t>Cash on Delivery</t>
        </is>
      </c>
      <c r="L136" t="n">
        <v>1</v>
      </c>
      <c r="M136" s="11" t="n">
        <v>0</v>
      </c>
      <c r="N136" t="inlineStr">
        <is>
          <t>Repeat</t>
        </is>
      </c>
      <c r="O136" t="inlineStr">
        <is>
          <t>2026-04</t>
        </is>
      </c>
      <c r="P136" s="11" t="n">
        <v>672.2</v>
      </c>
      <c r="Q136" s="11" t="n">
        <v>257.83</v>
      </c>
      <c r="R136" s="11" t="n">
        <v>-2.17</v>
      </c>
      <c r="S136" s="11" t="n">
        <v>255.66</v>
      </c>
    </row>
    <row r="137">
      <c r="A137" t="inlineStr">
        <is>
          <t>ORD-1035</t>
        </is>
      </c>
      <c r="B137" s="10" t="n">
        <v>46129</v>
      </c>
      <c r="C137" t="inlineStr">
        <is>
          <t>CUST-008</t>
        </is>
      </c>
      <c r="D137" t="inlineStr">
        <is>
          <t>Greater Accra</t>
        </is>
      </c>
      <c r="E137" t="inlineStr">
        <is>
          <t>Electronics Accessories</t>
        </is>
      </c>
      <c r="F137" s="11" t="n">
        <v>424.52</v>
      </c>
      <c r="G137" s="11" t="n">
        <v>289.89</v>
      </c>
      <c r="H137" s="11" t="n">
        <v>30</v>
      </c>
      <c r="I137" s="11" t="n">
        <v>41.46</v>
      </c>
      <c r="J137" t="inlineStr">
        <is>
          <t>Delivered</t>
        </is>
      </c>
      <c r="K137" t="inlineStr">
        <is>
          <t>Card</t>
        </is>
      </c>
      <c r="L137" t="n">
        <v>2</v>
      </c>
      <c r="M137" s="11" t="n">
        <v>0</v>
      </c>
      <c r="N137" t="inlineStr">
        <is>
          <t>Repeat</t>
        </is>
      </c>
      <c r="O137" t="inlineStr">
        <is>
          <t>2026-04</t>
        </is>
      </c>
      <c r="P137" s="11" t="n">
        <v>424.52</v>
      </c>
      <c r="Q137" s="11" t="n">
        <v>134.63</v>
      </c>
      <c r="R137" s="11" t="n">
        <v>-11.46</v>
      </c>
      <c r="S137" s="11" t="n">
        <v>123.17</v>
      </c>
    </row>
    <row r="138">
      <c r="A138" t="inlineStr">
        <is>
          <t>ORD-1008</t>
        </is>
      </c>
      <c r="B138" s="10" t="n">
        <v>46130</v>
      </c>
      <c r="C138" t="inlineStr">
        <is>
          <t>CUST-085</t>
        </is>
      </c>
      <c r="D138" t="inlineStr">
        <is>
          <t>Ashanti</t>
        </is>
      </c>
      <c r="E138" t="inlineStr">
        <is>
          <t>Personal Care</t>
        </is>
      </c>
      <c r="F138" s="11" t="n">
        <v>168.77</v>
      </c>
      <c r="G138" s="11" t="n">
        <v>95.90000000000001</v>
      </c>
      <c r="H138" s="11" t="n">
        <v>15</v>
      </c>
      <c r="I138" s="11" t="n">
        <v>26.7</v>
      </c>
      <c r="J138" t="inlineStr">
        <is>
          <t>Delivered</t>
        </is>
      </c>
      <c r="K138" t="inlineStr">
        <is>
          <t>Mobile Money</t>
        </is>
      </c>
      <c r="L138" t="n">
        <v>4</v>
      </c>
      <c r="M138" s="11" t="n">
        <v>0</v>
      </c>
      <c r="N138" t="inlineStr">
        <is>
          <t>Repeat</t>
        </is>
      </c>
      <c r="O138" t="inlineStr">
        <is>
          <t>2026-04</t>
        </is>
      </c>
      <c r="P138" s="11" t="n">
        <v>168.77</v>
      </c>
      <c r="Q138" s="11" t="n">
        <v>72.87</v>
      </c>
      <c r="R138" s="11" t="n">
        <v>-11.7</v>
      </c>
      <c r="S138" s="11" t="n">
        <v>61.17</v>
      </c>
    </row>
    <row r="139">
      <c r="A139" t="inlineStr">
        <is>
          <t>ORD-1154</t>
        </is>
      </c>
      <c r="B139" s="10" t="n">
        <v>46131</v>
      </c>
      <c r="C139" t="inlineStr">
        <is>
          <t>CUST-011</t>
        </is>
      </c>
      <c r="D139" t="inlineStr">
        <is>
          <t>Greater Accra</t>
        </is>
      </c>
      <c r="E139" t="inlineStr">
        <is>
          <t>Home &amp; Kitchen</t>
        </is>
      </c>
      <c r="F139" s="11" t="n">
        <v>647.0599999999999</v>
      </c>
      <c r="G139" s="11" t="n">
        <v>305.72</v>
      </c>
      <c r="H139" s="11" t="n">
        <v>20</v>
      </c>
      <c r="I139" s="11" t="n">
        <v>25.21</v>
      </c>
      <c r="J139" t="inlineStr">
        <is>
          <t>Delivered</t>
        </is>
      </c>
      <c r="K139" t="inlineStr">
        <is>
          <t>Cash on Delivery</t>
        </is>
      </c>
      <c r="L139" t="n">
        <v>2</v>
      </c>
      <c r="M139" s="11" t="n">
        <v>0</v>
      </c>
      <c r="N139" t="inlineStr">
        <is>
          <t>Repeat</t>
        </is>
      </c>
      <c r="O139" t="inlineStr">
        <is>
          <t>2026-04</t>
        </is>
      </c>
      <c r="P139" s="11" t="n">
        <v>647.0599999999999</v>
      </c>
      <c r="Q139" s="11" t="n">
        <v>341.3399999999999</v>
      </c>
      <c r="R139" s="11" t="n">
        <v>-5.21</v>
      </c>
      <c r="S139" s="11" t="n">
        <v>336.13</v>
      </c>
    </row>
    <row r="140">
      <c r="A140" t="inlineStr">
        <is>
          <t>ORD-1016</t>
        </is>
      </c>
      <c r="B140" s="10" t="n">
        <v>46133</v>
      </c>
      <c r="C140" t="inlineStr">
        <is>
          <t>CUST-017</t>
        </is>
      </c>
      <c r="D140" t="inlineStr">
        <is>
          <t>Greater Accra</t>
        </is>
      </c>
      <c r="E140" t="inlineStr">
        <is>
          <t>Electronics Accessories</t>
        </is>
      </c>
      <c r="F140" s="11" t="n">
        <v>379.01</v>
      </c>
      <c r="G140" s="11" t="n">
        <v>260.74</v>
      </c>
      <c r="H140" s="11" t="n">
        <v>10</v>
      </c>
      <c r="I140" s="11" t="n">
        <v>20.99</v>
      </c>
      <c r="J140" t="inlineStr">
        <is>
          <t>Delivered</t>
        </is>
      </c>
      <c r="K140" t="inlineStr">
        <is>
          <t>Mobile Money</t>
        </is>
      </c>
      <c r="L140" t="n">
        <v>1</v>
      </c>
      <c r="M140" s="11" t="n">
        <v>0</v>
      </c>
      <c r="N140" t="inlineStr">
        <is>
          <t>Repeat</t>
        </is>
      </c>
      <c r="O140" t="inlineStr">
        <is>
          <t>2026-04</t>
        </is>
      </c>
      <c r="P140" s="11" t="n">
        <v>379.01</v>
      </c>
      <c r="Q140" s="11" t="n">
        <v>118.27</v>
      </c>
      <c r="R140" s="11" t="n">
        <v>-10.99</v>
      </c>
      <c r="S140" s="11" t="n">
        <v>107.28</v>
      </c>
    </row>
    <row r="141">
      <c r="A141" t="inlineStr">
        <is>
          <t>ORD-1046</t>
        </is>
      </c>
      <c r="B141" s="10" t="n">
        <v>46134</v>
      </c>
      <c r="C141" t="inlineStr">
        <is>
          <t>CUST-023</t>
        </is>
      </c>
      <c r="D141" t="inlineStr">
        <is>
          <t>Ashanti</t>
        </is>
      </c>
      <c r="E141" t="inlineStr">
        <is>
          <t>Stationery</t>
        </is>
      </c>
      <c r="F141" s="11" t="n">
        <v>174.3</v>
      </c>
      <c r="G141" s="11" t="n">
        <v>69.48</v>
      </c>
      <c r="H141" s="11" t="n">
        <v>30</v>
      </c>
      <c r="I141" s="11" t="n">
        <v>42.75</v>
      </c>
      <c r="J141" t="inlineStr">
        <is>
          <t>Delivered</t>
        </is>
      </c>
      <c r="K141" t="inlineStr">
        <is>
          <t>Card</t>
        </is>
      </c>
      <c r="L141" t="n">
        <v>1</v>
      </c>
      <c r="M141" s="11" t="n">
        <v>0</v>
      </c>
      <c r="N141" t="inlineStr">
        <is>
          <t>Repeat</t>
        </is>
      </c>
      <c r="O141" t="inlineStr">
        <is>
          <t>2026-04</t>
        </is>
      </c>
      <c r="P141" s="11" t="n">
        <v>174.3</v>
      </c>
      <c r="Q141" s="11" t="n">
        <v>104.82</v>
      </c>
      <c r="R141" s="11" t="n">
        <v>-12.75</v>
      </c>
      <c r="S141" s="11" t="n">
        <v>92.06999999999999</v>
      </c>
    </row>
    <row r="142">
      <c r="A142" t="inlineStr">
        <is>
          <t>ORD-1234</t>
        </is>
      </c>
      <c r="B142" s="10" t="n">
        <v>46134</v>
      </c>
      <c r="C142" t="inlineStr">
        <is>
          <t>CUST-083</t>
        </is>
      </c>
      <c r="D142" t="inlineStr">
        <is>
          <t>Northern</t>
        </is>
      </c>
      <c r="E142" t="inlineStr">
        <is>
          <t>Stationery</t>
        </is>
      </c>
      <c r="F142" s="11" t="n">
        <v>108.37</v>
      </c>
      <c r="G142" s="11" t="n">
        <v>54.67</v>
      </c>
      <c r="H142" s="11" t="n">
        <v>10</v>
      </c>
      <c r="I142" s="11" t="n">
        <v>30.95</v>
      </c>
      <c r="J142" t="inlineStr">
        <is>
          <t>Failed</t>
        </is>
      </c>
      <c r="K142" t="inlineStr">
        <is>
          <t>Mobile Money</t>
        </is>
      </c>
      <c r="L142" t="n">
        <v>9</v>
      </c>
      <c r="M142" s="11" t="n">
        <v>12.61</v>
      </c>
      <c r="N142" t="inlineStr">
        <is>
          <t>Repeat</t>
        </is>
      </c>
      <c r="O142" t="inlineStr">
        <is>
          <t>2026-04</t>
        </is>
      </c>
      <c r="P142" s="11" t="n">
        <v>0</v>
      </c>
      <c r="Q142" s="11" t="n">
        <v>0</v>
      </c>
      <c r="R142" s="11" t="n">
        <v>-20.95</v>
      </c>
      <c r="S142" s="11" t="n">
        <v>-33.56</v>
      </c>
    </row>
    <row r="143">
      <c r="A143" t="inlineStr">
        <is>
          <t>ORD-1153</t>
        </is>
      </c>
      <c r="B143" s="10" t="n">
        <v>46135</v>
      </c>
      <c r="C143" t="inlineStr">
        <is>
          <t>CUST-050</t>
        </is>
      </c>
      <c r="D143" t="inlineStr">
        <is>
          <t>Ashanti</t>
        </is>
      </c>
      <c r="E143" t="inlineStr">
        <is>
          <t>Home &amp; Kitchen</t>
        </is>
      </c>
      <c r="F143" s="11" t="n">
        <v>162.09</v>
      </c>
      <c r="G143" s="11" t="n">
        <v>91.51000000000001</v>
      </c>
      <c r="H143" s="11" t="n">
        <v>20</v>
      </c>
      <c r="I143" s="11" t="n">
        <v>34.24</v>
      </c>
      <c r="J143" t="inlineStr">
        <is>
          <t>Delivered</t>
        </is>
      </c>
      <c r="K143" t="inlineStr">
        <is>
          <t>Card</t>
        </is>
      </c>
      <c r="L143" t="n">
        <v>1</v>
      </c>
      <c r="M143" s="11" t="n">
        <v>0</v>
      </c>
      <c r="N143" t="inlineStr">
        <is>
          <t>Repeat</t>
        </is>
      </c>
      <c r="O143" t="inlineStr">
        <is>
          <t>2026-04</t>
        </is>
      </c>
      <c r="P143" s="11" t="n">
        <v>162.09</v>
      </c>
      <c r="Q143" s="11" t="n">
        <v>70.58</v>
      </c>
      <c r="R143" s="11" t="n">
        <v>-14.24</v>
      </c>
      <c r="S143" s="11" t="n">
        <v>56.34</v>
      </c>
    </row>
    <row r="144">
      <c r="A144" t="inlineStr">
        <is>
          <t>ORD-1058</t>
        </is>
      </c>
      <c r="B144" s="10" t="n">
        <v>46136</v>
      </c>
      <c r="C144" t="inlineStr">
        <is>
          <t>CUST-039</t>
        </is>
      </c>
      <c r="D144" t="inlineStr">
        <is>
          <t>Eastern</t>
        </is>
      </c>
      <c r="E144" t="inlineStr">
        <is>
          <t>Small Appliances</t>
        </is>
      </c>
      <c r="F144" s="11" t="n">
        <v>1486.54</v>
      </c>
      <c r="G144" s="11" t="n">
        <v>973.64</v>
      </c>
      <c r="H144" s="11" t="n">
        <v>30</v>
      </c>
      <c r="I144" s="11" t="n">
        <v>36.6</v>
      </c>
      <c r="J144" t="inlineStr">
        <is>
          <t>Returned</t>
        </is>
      </c>
      <c r="K144" t="inlineStr">
        <is>
          <t>Mobile Money</t>
        </is>
      </c>
      <c r="L144" t="n">
        <v>7</v>
      </c>
      <c r="M144" s="11" t="n">
        <v>11.53</v>
      </c>
      <c r="N144" t="inlineStr">
        <is>
          <t>Repeat</t>
        </is>
      </c>
      <c r="O144" t="inlineStr">
        <is>
          <t>2026-04</t>
        </is>
      </c>
      <c r="P144" s="11" t="n">
        <v>0</v>
      </c>
      <c r="Q144" s="11" t="n">
        <v>0</v>
      </c>
      <c r="R144" s="11" t="n">
        <v>-6.6</v>
      </c>
      <c r="S144" s="11" t="n">
        <v>-18.13</v>
      </c>
    </row>
    <row r="145">
      <c r="A145" t="inlineStr">
        <is>
          <t>ORD-1104</t>
        </is>
      </c>
      <c r="B145" s="10" t="n">
        <v>46136</v>
      </c>
      <c r="C145" t="inlineStr">
        <is>
          <t>CUST-010</t>
        </is>
      </c>
      <c r="D145" t="inlineStr">
        <is>
          <t>Greater Accra</t>
        </is>
      </c>
      <c r="E145" t="inlineStr">
        <is>
          <t>Small Appliances</t>
        </is>
      </c>
      <c r="F145" s="11" t="n">
        <v>584.85</v>
      </c>
      <c r="G145" s="11" t="n">
        <v>366.53</v>
      </c>
      <c r="H145" s="11" t="n">
        <v>15</v>
      </c>
      <c r="I145" s="11" t="n">
        <v>19.75</v>
      </c>
      <c r="J145" t="inlineStr">
        <is>
          <t>Delivered</t>
        </is>
      </c>
      <c r="K145" t="inlineStr">
        <is>
          <t>Cash on Delivery</t>
        </is>
      </c>
      <c r="L145" t="n">
        <v>1</v>
      </c>
      <c r="M145" s="11" t="n">
        <v>0</v>
      </c>
      <c r="N145" t="inlineStr">
        <is>
          <t>Repeat</t>
        </is>
      </c>
      <c r="O145" t="inlineStr">
        <is>
          <t>2026-04</t>
        </is>
      </c>
      <c r="P145" s="11" t="n">
        <v>584.85</v>
      </c>
      <c r="Q145" s="11" t="n">
        <v>218.3200000000001</v>
      </c>
      <c r="R145" s="11" t="n">
        <v>-4.75</v>
      </c>
      <c r="S145" s="11" t="n">
        <v>213.57</v>
      </c>
    </row>
    <row r="146">
      <c r="A146" t="inlineStr">
        <is>
          <t>ORD-1137</t>
        </is>
      </c>
      <c r="B146" s="10" t="n">
        <v>46137</v>
      </c>
      <c r="C146" t="inlineStr">
        <is>
          <t>CUST-030</t>
        </is>
      </c>
      <c r="D146" t="inlineStr">
        <is>
          <t>Northern</t>
        </is>
      </c>
      <c r="E146" t="inlineStr">
        <is>
          <t>Personal Care</t>
        </is>
      </c>
      <c r="F146" s="11" t="n">
        <v>110.1</v>
      </c>
      <c r="G146" s="11" t="n">
        <v>60.07</v>
      </c>
      <c r="H146" s="11" t="n">
        <v>25</v>
      </c>
      <c r="I146" s="11" t="n">
        <v>46.04</v>
      </c>
      <c r="J146" t="inlineStr">
        <is>
          <t>Delivered</t>
        </is>
      </c>
      <c r="K146" t="inlineStr">
        <is>
          <t>Cash on Delivery</t>
        </is>
      </c>
      <c r="L146" t="n">
        <v>4</v>
      </c>
      <c r="M146" s="11" t="n">
        <v>0</v>
      </c>
      <c r="N146" t="inlineStr">
        <is>
          <t>Repeat</t>
        </is>
      </c>
      <c r="O146" t="inlineStr">
        <is>
          <t>2026-04</t>
        </is>
      </c>
      <c r="P146" s="11" t="n">
        <v>110.1</v>
      </c>
      <c r="Q146" s="11" t="n">
        <v>50.02999999999999</v>
      </c>
      <c r="R146" s="11" t="n">
        <v>-21.04</v>
      </c>
      <c r="S146" s="11" t="n">
        <v>28.99</v>
      </c>
    </row>
    <row r="147">
      <c r="A147" t="inlineStr">
        <is>
          <t>ORD-1213</t>
        </is>
      </c>
      <c r="B147" s="10" t="n">
        <v>46137</v>
      </c>
      <c r="C147" t="inlineStr">
        <is>
          <t>CUST-077</t>
        </is>
      </c>
      <c r="D147" t="inlineStr">
        <is>
          <t>Western</t>
        </is>
      </c>
      <c r="E147" t="inlineStr">
        <is>
          <t>Personal Care</t>
        </is>
      </c>
      <c r="F147" s="11" t="n">
        <v>264.86</v>
      </c>
      <c r="G147" s="11" t="n">
        <v>117.61</v>
      </c>
      <c r="H147" s="11" t="n">
        <v>10</v>
      </c>
      <c r="I147" s="11" t="n">
        <v>23.02</v>
      </c>
      <c r="J147" t="inlineStr">
        <is>
          <t>Delivered</t>
        </is>
      </c>
      <c r="K147" t="inlineStr">
        <is>
          <t>Mobile Money</t>
        </is>
      </c>
      <c r="L147" t="n">
        <v>2</v>
      </c>
      <c r="M147" s="11" t="n">
        <v>0</v>
      </c>
      <c r="N147" t="inlineStr">
        <is>
          <t>Repeat</t>
        </is>
      </c>
      <c r="O147" t="inlineStr">
        <is>
          <t>2026-04</t>
        </is>
      </c>
      <c r="P147" s="11" t="n">
        <v>264.86</v>
      </c>
      <c r="Q147" s="11" t="n">
        <v>147.25</v>
      </c>
      <c r="R147" s="11" t="n">
        <v>-13.02</v>
      </c>
      <c r="S147" s="11" t="n">
        <v>134.23</v>
      </c>
    </row>
    <row r="148">
      <c r="A148" t="inlineStr">
        <is>
          <t>ORD-1173</t>
        </is>
      </c>
      <c r="B148" s="10" t="n">
        <v>46138</v>
      </c>
      <c r="C148" t="inlineStr">
        <is>
          <t>CUST-032</t>
        </is>
      </c>
      <c r="D148" t="inlineStr">
        <is>
          <t>Central</t>
        </is>
      </c>
      <c r="E148" t="inlineStr">
        <is>
          <t>Electronics Accessories</t>
        </is>
      </c>
      <c r="F148" s="11" t="n">
        <v>121.5</v>
      </c>
      <c r="G148" s="11" t="n">
        <v>83.86</v>
      </c>
      <c r="H148" s="11" t="n">
        <v>30</v>
      </c>
      <c r="I148" s="11" t="n">
        <v>41.18</v>
      </c>
      <c r="J148" t="inlineStr">
        <is>
          <t>Returned</t>
        </is>
      </c>
      <c r="K148" t="inlineStr">
        <is>
          <t>Card</t>
        </is>
      </c>
      <c r="L148" t="n">
        <v>7</v>
      </c>
      <c r="M148" s="11" t="n">
        <v>13.57</v>
      </c>
      <c r="N148" t="inlineStr">
        <is>
          <t>Repeat</t>
        </is>
      </c>
      <c r="O148" t="inlineStr">
        <is>
          <t>2026-04</t>
        </is>
      </c>
      <c r="P148" s="11" t="n">
        <v>0</v>
      </c>
      <c r="Q148" s="11" t="n">
        <v>0</v>
      </c>
      <c r="R148" s="11" t="n">
        <v>-11.18</v>
      </c>
      <c r="S148" s="11" t="n">
        <v>-24.75</v>
      </c>
    </row>
    <row r="149">
      <c r="A149" t="inlineStr">
        <is>
          <t>ORD-1029</t>
        </is>
      </c>
      <c r="B149" s="10" t="n">
        <v>46139</v>
      </c>
      <c r="C149" t="inlineStr">
        <is>
          <t>CUST-054</t>
        </is>
      </c>
      <c r="D149" t="inlineStr">
        <is>
          <t>Western</t>
        </is>
      </c>
      <c r="E149" t="inlineStr">
        <is>
          <t>Small Appliances</t>
        </is>
      </c>
      <c r="F149" s="11" t="n">
        <v>927.16</v>
      </c>
      <c r="G149" s="11" t="n">
        <v>676.1799999999999</v>
      </c>
      <c r="H149" s="11" t="n">
        <v>25</v>
      </c>
      <c r="I149" s="11" t="n">
        <v>38.94</v>
      </c>
      <c r="J149" t="inlineStr">
        <is>
          <t>Delivered</t>
        </is>
      </c>
      <c r="K149" t="inlineStr">
        <is>
          <t>Cash on Delivery</t>
        </is>
      </c>
      <c r="L149" t="n">
        <v>3</v>
      </c>
      <c r="M149" s="11" t="n">
        <v>0</v>
      </c>
      <c r="N149" t="inlineStr">
        <is>
          <t>Repeat</t>
        </is>
      </c>
      <c r="O149" t="inlineStr">
        <is>
          <t>2026-04</t>
        </is>
      </c>
      <c r="P149" s="11" t="n">
        <v>927.16</v>
      </c>
      <c r="Q149" s="11" t="n">
        <v>250.98</v>
      </c>
      <c r="R149" s="11" t="n">
        <v>-13.94</v>
      </c>
      <c r="S149" s="11" t="n">
        <v>237.04</v>
      </c>
    </row>
    <row r="150">
      <c r="A150" t="inlineStr">
        <is>
          <t>ORD-1039</t>
        </is>
      </c>
      <c r="B150" s="10" t="n">
        <v>46139</v>
      </c>
      <c r="C150" t="inlineStr">
        <is>
          <t>CUST-042</t>
        </is>
      </c>
      <c r="D150" t="inlineStr">
        <is>
          <t>Greater Accra</t>
        </is>
      </c>
      <c r="E150" t="inlineStr">
        <is>
          <t>Home &amp; Kitchen</t>
        </is>
      </c>
      <c r="F150" s="11" t="n">
        <v>577.78</v>
      </c>
      <c r="G150" s="11" t="n">
        <v>283.16</v>
      </c>
      <c r="H150" s="11" t="n">
        <v>25</v>
      </c>
      <c r="I150" s="11" t="n">
        <v>29.52</v>
      </c>
      <c r="J150" t="inlineStr">
        <is>
          <t>Delivered</t>
        </is>
      </c>
      <c r="K150" t="inlineStr">
        <is>
          <t>Mobile Money</t>
        </is>
      </c>
      <c r="L150" t="n">
        <v>1</v>
      </c>
      <c r="M150" s="11" t="n">
        <v>0</v>
      </c>
      <c r="N150" t="inlineStr">
        <is>
          <t>Repeat</t>
        </is>
      </c>
      <c r="O150" t="inlineStr">
        <is>
          <t>2026-04</t>
        </is>
      </c>
      <c r="P150" s="11" t="n">
        <v>577.78</v>
      </c>
      <c r="Q150" s="11" t="n">
        <v>294.6199999999999</v>
      </c>
      <c r="R150" s="11" t="n">
        <v>-4.52</v>
      </c>
      <c r="S150" s="11" t="n">
        <v>290.1</v>
      </c>
    </row>
    <row r="151">
      <c r="A151" t="inlineStr">
        <is>
          <t>ORD-1052</t>
        </is>
      </c>
      <c r="B151" s="10" t="n">
        <v>46139</v>
      </c>
      <c r="C151" t="inlineStr">
        <is>
          <t>CUST-035</t>
        </is>
      </c>
      <c r="D151" t="inlineStr">
        <is>
          <t>Ashanti</t>
        </is>
      </c>
      <c r="E151" t="inlineStr">
        <is>
          <t>Home &amp; Kitchen</t>
        </is>
      </c>
      <c r="F151" s="11" t="n">
        <v>188.32</v>
      </c>
      <c r="G151" s="11" t="n">
        <v>107.31</v>
      </c>
      <c r="H151" s="11" t="n">
        <v>20</v>
      </c>
      <c r="I151" s="11" t="n">
        <v>26.2</v>
      </c>
      <c r="J151" t="inlineStr">
        <is>
          <t>Delivered</t>
        </is>
      </c>
      <c r="K151" t="inlineStr">
        <is>
          <t>Cash on Delivery</t>
        </is>
      </c>
      <c r="L151" t="n">
        <v>3</v>
      </c>
      <c r="M151" s="11" t="n">
        <v>0</v>
      </c>
      <c r="N151" t="inlineStr">
        <is>
          <t>Repeat</t>
        </is>
      </c>
      <c r="O151" t="inlineStr">
        <is>
          <t>2026-04</t>
        </is>
      </c>
      <c r="P151" s="11" t="n">
        <v>188.32</v>
      </c>
      <c r="Q151" s="11" t="n">
        <v>81.00999999999999</v>
      </c>
      <c r="R151" s="11" t="n">
        <v>-6.2</v>
      </c>
      <c r="S151" s="11" t="n">
        <v>74.81</v>
      </c>
    </row>
    <row r="152">
      <c r="A152" t="inlineStr">
        <is>
          <t>ORD-1229</t>
        </is>
      </c>
      <c r="B152" s="10" t="n">
        <v>46139</v>
      </c>
      <c r="C152" t="inlineStr">
        <is>
          <t>CUST-048</t>
        </is>
      </c>
      <c r="D152" t="inlineStr">
        <is>
          <t>Greater Accra</t>
        </is>
      </c>
      <c r="E152" t="inlineStr">
        <is>
          <t>Electronics Accessories</t>
        </is>
      </c>
      <c r="F152" s="11" t="n">
        <v>602.9400000000001</v>
      </c>
      <c r="G152" s="11" t="n">
        <v>414.88</v>
      </c>
      <c r="H152" s="11" t="n">
        <v>25</v>
      </c>
      <c r="I152" s="11" t="n">
        <v>33.59</v>
      </c>
      <c r="J152" t="inlineStr">
        <is>
          <t>Delivered</t>
        </is>
      </c>
      <c r="K152" t="inlineStr">
        <is>
          <t>Cash on Delivery</t>
        </is>
      </c>
      <c r="L152" t="n">
        <v>2</v>
      </c>
      <c r="M152" s="11" t="n">
        <v>0</v>
      </c>
      <c r="N152" t="inlineStr">
        <is>
          <t>One-time</t>
        </is>
      </c>
      <c r="O152" t="inlineStr">
        <is>
          <t>2026-04</t>
        </is>
      </c>
      <c r="P152" s="11" t="n">
        <v>602.9400000000001</v>
      </c>
      <c r="Q152" s="11" t="n">
        <v>188.0600000000001</v>
      </c>
      <c r="R152" s="11" t="n">
        <v>-8.59</v>
      </c>
      <c r="S152" s="11" t="n">
        <v>179.47</v>
      </c>
    </row>
    <row r="153">
      <c r="A153" t="inlineStr">
        <is>
          <t>ORD-1250</t>
        </is>
      </c>
      <c r="B153" s="10" t="n">
        <v>46141</v>
      </c>
      <c r="C153" t="inlineStr">
        <is>
          <t>CUST-027</t>
        </is>
      </c>
      <c r="D153" t="inlineStr">
        <is>
          <t>Greater Accra</t>
        </is>
      </c>
      <c r="E153" t="inlineStr">
        <is>
          <t>Home &amp; Kitchen</t>
        </is>
      </c>
      <c r="F153" s="11" t="n">
        <v>224.8</v>
      </c>
      <c r="G153" s="11" t="n">
        <v>126.95</v>
      </c>
      <c r="H153" s="11" t="n">
        <v>25</v>
      </c>
      <c r="I153" s="11" t="n">
        <v>33.73</v>
      </c>
      <c r="J153" t="inlineStr">
        <is>
          <t>Delivered</t>
        </is>
      </c>
      <c r="K153" t="inlineStr">
        <is>
          <t>Mobile Money</t>
        </is>
      </c>
      <c r="L153" t="n">
        <v>2</v>
      </c>
      <c r="M153" s="11" t="n">
        <v>0</v>
      </c>
      <c r="N153" t="inlineStr">
        <is>
          <t>Repeat</t>
        </is>
      </c>
      <c r="O153" t="inlineStr">
        <is>
          <t>2026-04</t>
        </is>
      </c>
      <c r="P153" s="11" t="n">
        <v>224.8</v>
      </c>
      <c r="Q153" s="11" t="n">
        <v>97.85000000000001</v>
      </c>
      <c r="R153" s="11" t="n">
        <v>-8.73</v>
      </c>
      <c r="S153" s="11" t="n">
        <v>89.12</v>
      </c>
    </row>
    <row r="154">
      <c r="A154" t="inlineStr">
        <is>
          <t>ORD-1083</t>
        </is>
      </c>
      <c r="B154" s="10" t="n">
        <v>46142</v>
      </c>
      <c r="C154" t="inlineStr">
        <is>
          <t>CUST-037</t>
        </is>
      </c>
      <c r="D154" t="inlineStr">
        <is>
          <t>Eastern</t>
        </is>
      </c>
      <c r="E154" t="inlineStr">
        <is>
          <t>Personal Care</t>
        </is>
      </c>
      <c r="F154" s="11" t="n">
        <v>68.44</v>
      </c>
      <c r="G154" s="11" t="n">
        <v>32.82</v>
      </c>
      <c r="H154" s="11" t="n">
        <v>20</v>
      </c>
      <c r="I154" s="11" t="n">
        <v>35.88</v>
      </c>
      <c r="J154" t="inlineStr">
        <is>
          <t>Delivered</t>
        </is>
      </c>
      <c r="K154" t="inlineStr">
        <is>
          <t>Bank Transfer</t>
        </is>
      </c>
      <c r="L154" t="n">
        <v>2</v>
      </c>
      <c r="M154" s="11" t="n">
        <v>0</v>
      </c>
      <c r="N154" t="inlineStr">
        <is>
          <t>Repeat</t>
        </is>
      </c>
      <c r="O154" t="inlineStr">
        <is>
          <t>2026-04</t>
        </is>
      </c>
      <c r="P154" s="11" t="n">
        <v>68.44</v>
      </c>
      <c r="Q154" s="11" t="n">
        <v>35.62</v>
      </c>
      <c r="R154" s="11" t="n">
        <v>-15.88</v>
      </c>
      <c r="S154" s="11" t="n">
        <v>19.74</v>
      </c>
    </row>
    <row r="155">
      <c r="A155" t="inlineStr">
        <is>
          <t>ORD-1060</t>
        </is>
      </c>
      <c r="B155" s="10" t="n">
        <v>46143</v>
      </c>
      <c r="C155" t="inlineStr">
        <is>
          <t>CUST-038</t>
        </is>
      </c>
      <c r="D155" t="inlineStr">
        <is>
          <t>Northern</t>
        </is>
      </c>
      <c r="E155" t="inlineStr">
        <is>
          <t>Electronics Accessories</t>
        </is>
      </c>
      <c r="F155" s="11" t="n">
        <v>316.25</v>
      </c>
      <c r="G155" s="11" t="n">
        <v>180.54</v>
      </c>
      <c r="H155" s="11" t="n">
        <v>25</v>
      </c>
      <c r="I155" s="11" t="n">
        <v>37.71</v>
      </c>
      <c r="J155" t="inlineStr">
        <is>
          <t>Delivered</t>
        </is>
      </c>
      <c r="K155" t="inlineStr">
        <is>
          <t>Mobile Money</t>
        </is>
      </c>
      <c r="L155" t="n">
        <v>3</v>
      </c>
      <c r="M155" s="11" t="n">
        <v>0</v>
      </c>
      <c r="N155" t="inlineStr">
        <is>
          <t>Repeat</t>
        </is>
      </c>
      <c r="O155" t="inlineStr">
        <is>
          <t>2026-05</t>
        </is>
      </c>
      <c r="P155" s="11" t="n">
        <v>316.25</v>
      </c>
      <c r="Q155" s="11" t="n">
        <v>135.71</v>
      </c>
      <c r="R155" s="11" t="n">
        <v>-12.71</v>
      </c>
      <c r="S155" s="11" t="n">
        <v>123</v>
      </c>
    </row>
    <row r="156">
      <c r="A156" t="inlineStr">
        <is>
          <t>ORD-1143</t>
        </is>
      </c>
      <c r="B156" s="10" t="n">
        <v>46143</v>
      </c>
      <c r="C156" t="inlineStr">
        <is>
          <t>CUST-090</t>
        </is>
      </c>
      <c r="D156" t="inlineStr">
        <is>
          <t>Greater Accra</t>
        </is>
      </c>
      <c r="E156" t="inlineStr">
        <is>
          <t>Stationery</t>
        </is>
      </c>
      <c r="F156" s="11" t="n">
        <v>140.21</v>
      </c>
      <c r="G156" s="11" t="n">
        <v>60.91</v>
      </c>
      <c r="H156" s="11" t="n">
        <v>30</v>
      </c>
      <c r="I156" s="11" t="n">
        <v>32.05</v>
      </c>
      <c r="J156" t="inlineStr">
        <is>
          <t>Delivered</t>
        </is>
      </c>
      <c r="K156" t="inlineStr">
        <is>
          <t>Mobile Money</t>
        </is>
      </c>
      <c r="L156" t="n">
        <v>2</v>
      </c>
      <c r="M156" s="11" t="n">
        <v>0</v>
      </c>
      <c r="N156" t="inlineStr">
        <is>
          <t>Repeat</t>
        </is>
      </c>
      <c r="O156" t="inlineStr">
        <is>
          <t>2026-05</t>
        </is>
      </c>
      <c r="P156" s="11" t="n">
        <v>140.21</v>
      </c>
      <c r="Q156" s="11" t="n">
        <v>79.30000000000001</v>
      </c>
      <c r="R156" s="11" t="n">
        <v>-2.05</v>
      </c>
      <c r="S156" s="11" t="n">
        <v>77.25</v>
      </c>
    </row>
    <row r="157">
      <c r="A157" t="inlineStr">
        <is>
          <t>ORD-1027</t>
        </is>
      </c>
      <c r="B157" s="10" t="n">
        <v>46144</v>
      </c>
      <c r="C157" t="inlineStr">
        <is>
          <t>CUST-022</t>
        </is>
      </c>
      <c r="D157" t="inlineStr">
        <is>
          <t>Central</t>
        </is>
      </c>
      <c r="E157" t="inlineStr">
        <is>
          <t>Personal Care</t>
        </is>
      </c>
      <c r="F157" s="11" t="n">
        <v>103.04</v>
      </c>
      <c r="G157" s="11" t="n">
        <v>53.53</v>
      </c>
      <c r="H157" s="11" t="n">
        <v>30</v>
      </c>
      <c r="I157" s="11" t="n">
        <v>40.35</v>
      </c>
      <c r="J157" t="inlineStr">
        <is>
          <t>Delivered</t>
        </is>
      </c>
      <c r="K157" t="inlineStr">
        <is>
          <t>Cash on Delivery</t>
        </is>
      </c>
      <c r="L157" t="n">
        <v>4</v>
      </c>
      <c r="M157" s="11" t="n">
        <v>0</v>
      </c>
      <c r="N157" t="inlineStr">
        <is>
          <t>Repeat</t>
        </is>
      </c>
      <c r="O157" t="inlineStr">
        <is>
          <t>2026-05</t>
        </is>
      </c>
      <c r="P157" s="11" t="n">
        <v>103.04</v>
      </c>
      <c r="Q157" s="11" t="n">
        <v>49.51000000000001</v>
      </c>
      <c r="R157" s="11" t="n">
        <v>-10.35</v>
      </c>
      <c r="S157" s="11" t="n">
        <v>39.16</v>
      </c>
    </row>
    <row r="158">
      <c r="A158" t="inlineStr">
        <is>
          <t>ORD-1150</t>
        </is>
      </c>
      <c r="B158" s="10" t="n">
        <v>46145</v>
      </c>
      <c r="C158" t="inlineStr">
        <is>
          <t>CUST-081</t>
        </is>
      </c>
      <c r="D158" t="inlineStr">
        <is>
          <t>Northern</t>
        </is>
      </c>
      <c r="E158" t="inlineStr">
        <is>
          <t>Electronics Accessories</t>
        </is>
      </c>
      <c r="F158" s="11" t="n">
        <v>190.58</v>
      </c>
      <c r="G158" s="11" t="n">
        <v>123.67</v>
      </c>
      <c r="H158" s="11" t="n">
        <v>25</v>
      </c>
      <c r="I158" s="11" t="n">
        <v>37.37</v>
      </c>
      <c r="J158" t="inlineStr">
        <is>
          <t>Delivered</t>
        </is>
      </c>
      <c r="K158" t="inlineStr">
        <is>
          <t>Card</t>
        </is>
      </c>
      <c r="L158" t="n">
        <v>3</v>
      </c>
      <c r="M158" s="11" t="n">
        <v>0</v>
      </c>
      <c r="N158" t="inlineStr">
        <is>
          <t>One-time</t>
        </is>
      </c>
      <c r="O158" t="inlineStr">
        <is>
          <t>2026-05</t>
        </is>
      </c>
      <c r="P158" s="11" t="n">
        <v>190.58</v>
      </c>
      <c r="Q158" s="11" t="n">
        <v>66.91000000000001</v>
      </c>
      <c r="R158" s="11" t="n">
        <v>-12.37</v>
      </c>
      <c r="S158" s="11" t="n">
        <v>54.54</v>
      </c>
    </row>
    <row r="159">
      <c r="A159" t="inlineStr">
        <is>
          <t>ORD-1165</t>
        </is>
      </c>
      <c r="B159" s="10" t="n">
        <v>46145</v>
      </c>
      <c r="C159" t="inlineStr">
        <is>
          <t>CUST-068</t>
        </is>
      </c>
      <c r="D159" t="inlineStr">
        <is>
          <t>Greater Accra</t>
        </is>
      </c>
      <c r="E159" t="inlineStr">
        <is>
          <t>Home &amp; Kitchen</t>
        </is>
      </c>
      <c r="F159" s="11" t="n">
        <v>295.66</v>
      </c>
      <c r="G159" s="11" t="n">
        <v>160.69</v>
      </c>
      <c r="H159" s="11" t="n">
        <v>15</v>
      </c>
      <c r="I159" s="11" t="n">
        <v>26.72</v>
      </c>
      <c r="J159" t="inlineStr">
        <is>
          <t>Delivered</t>
        </is>
      </c>
      <c r="K159" t="inlineStr">
        <is>
          <t>Mobile Money</t>
        </is>
      </c>
      <c r="L159" t="n">
        <v>1</v>
      </c>
      <c r="M159" s="11" t="n">
        <v>0</v>
      </c>
      <c r="N159" t="inlineStr">
        <is>
          <t>Repeat</t>
        </is>
      </c>
      <c r="O159" t="inlineStr">
        <is>
          <t>2026-05</t>
        </is>
      </c>
      <c r="P159" s="11" t="n">
        <v>295.66</v>
      </c>
      <c r="Q159" s="11" t="n">
        <v>134.97</v>
      </c>
      <c r="R159" s="11" t="n">
        <v>-11.72</v>
      </c>
      <c r="S159" s="11" t="n">
        <v>123.25</v>
      </c>
    </row>
    <row r="160">
      <c r="A160" t="inlineStr">
        <is>
          <t>ORD-1115</t>
        </is>
      </c>
      <c r="B160" s="10" t="n">
        <v>46147</v>
      </c>
      <c r="C160" t="inlineStr">
        <is>
          <t>CUST-078</t>
        </is>
      </c>
      <c r="D160" t="inlineStr">
        <is>
          <t>Ashanti</t>
        </is>
      </c>
      <c r="E160" t="inlineStr">
        <is>
          <t>Home &amp; Kitchen</t>
        </is>
      </c>
      <c r="F160" s="11" t="n">
        <v>213.9</v>
      </c>
      <c r="G160" s="11" t="n">
        <v>123.18</v>
      </c>
      <c r="H160" s="11" t="n">
        <v>10</v>
      </c>
      <c r="I160" s="11" t="n">
        <v>18.45</v>
      </c>
      <c r="J160" t="inlineStr">
        <is>
          <t>Delivered</t>
        </is>
      </c>
      <c r="K160" t="inlineStr">
        <is>
          <t>Cash on Delivery</t>
        </is>
      </c>
      <c r="L160" t="n">
        <v>2</v>
      </c>
      <c r="M160" s="11" t="n">
        <v>0</v>
      </c>
      <c r="N160" t="inlineStr">
        <is>
          <t>Repeat</t>
        </is>
      </c>
      <c r="O160" t="inlineStr">
        <is>
          <t>2026-05</t>
        </is>
      </c>
      <c r="P160" s="11" t="n">
        <v>213.9</v>
      </c>
      <c r="Q160" s="11" t="n">
        <v>90.72</v>
      </c>
      <c r="R160" s="11" t="n">
        <v>-8.449999999999999</v>
      </c>
      <c r="S160" s="11" t="n">
        <v>82.27</v>
      </c>
    </row>
    <row r="161">
      <c r="A161" t="inlineStr">
        <is>
          <t>ORD-1134</t>
        </is>
      </c>
      <c r="B161" s="10" t="n">
        <v>46147</v>
      </c>
      <c r="C161" t="inlineStr">
        <is>
          <t>CUST-025</t>
        </is>
      </c>
      <c r="D161" t="inlineStr">
        <is>
          <t>Western</t>
        </is>
      </c>
      <c r="E161" t="inlineStr">
        <is>
          <t>Electronics Accessories</t>
        </is>
      </c>
      <c r="F161" s="11" t="n">
        <v>192.8</v>
      </c>
      <c r="G161" s="11" t="n">
        <v>102.93</v>
      </c>
      <c r="H161" s="11" t="n">
        <v>10</v>
      </c>
      <c r="I161" s="11" t="n">
        <v>24.08</v>
      </c>
      <c r="J161" t="inlineStr">
        <is>
          <t>Delivered</t>
        </is>
      </c>
      <c r="K161" t="inlineStr">
        <is>
          <t>Cash on Delivery</t>
        </is>
      </c>
      <c r="L161" t="n">
        <v>3</v>
      </c>
      <c r="M161" s="11" t="n">
        <v>0</v>
      </c>
      <c r="N161" t="inlineStr">
        <is>
          <t>Repeat</t>
        </is>
      </c>
      <c r="O161" t="inlineStr">
        <is>
          <t>2026-05</t>
        </is>
      </c>
      <c r="P161" s="11" t="n">
        <v>192.8</v>
      </c>
      <c r="Q161" s="11" t="n">
        <v>89.87</v>
      </c>
      <c r="R161" s="11" t="n">
        <v>-14.08</v>
      </c>
      <c r="S161" s="11" t="n">
        <v>75.79000000000001</v>
      </c>
    </row>
    <row r="162">
      <c r="A162" t="inlineStr">
        <is>
          <t>ORD-1055</t>
        </is>
      </c>
      <c r="B162" s="10" t="n">
        <v>46148</v>
      </c>
      <c r="C162" t="inlineStr">
        <is>
          <t>CUST-014</t>
        </is>
      </c>
      <c r="D162" t="inlineStr">
        <is>
          <t>Greater Accra</t>
        </is>
      </c>
      <c r="E162" t="inlineStr">
        <is>
          <t>Small Appliances</t>
        </is>
      </c>
      <c r="F162" s="11" t="n">
        <v>924.99</v>
      </c>
      <c r="G162" s="11" t="n">
        <v>633.15</v>
      </c>
      <c r="H162" s="11" t="n">
        <v>25</v>
      </c>
      <c r="I162" s="11" t="n">
        <v>30.41</v>
      </c>
      <c r="J162" t="inlineStr">
        <is>
          <t>Returned</t>
        </is>
      </c>
      <c r="K162" t="inlineStr">
        <is>
          <t>Mobile Money</t>
        </is>
      </c>
      <c r="L162" t="n">
        <v>7</v>
      </c>
      <c r="M162" s="11" t="n">
        <v>16.12</v>
      </c>
      <c r="N162" t="inlineStr">
        <is>
          <t>Repeat</t>
        </is>
      </c>
      <c r="O162" t="inlineStr">
        <is>
          <t>2026-05</t>
        </is>
      </c>
      <c r="P162" s="11" t="n">
        <v>0</v>
      </c>
      <c r="Q162" s="11" t="n">
        <v>0</v>
      </c>
      <c r="R162" s="11" t="n">
        <v>-5.41</v>
      </c>
      <c r="S162" s="11" t="n">
        <v>-21.53</v>
      </c>
    </row>
    <row r="163">
      <c r="A163" t="inlineStr">
        <is>
          <t>ORD-1161</t>
        </is>
      </c>
      <c r="B163" s="10" t="n">
        <v>46148</v>
      </c>
      <c r="C163" t="inlineStr">
        <is>
          <t>CUST-026</t>
        </is>
      </c>
      <c r="D163" t="inlineStr">
        <is>
          <t>Ashanti</t>
        </is>
      </c>
      <c r="E163" t="inlineStr">
        <is>
          <t>Electronics Accessories</t>
        </is>
      </c>
      <c r="F163" s="11" t="n">
        <v>779.3200000000001</v>
      </c>
      <c r="G163" s="11" t="n">
        <v>468.66</v>
      </c>
      <c r="H163" s="11" t="n">
        <v>25</v>
      </c>
      <c r="I163" s="11" t="n">
        <v>39.97</v>
      </c>
      <c r="J163" t="inlineStr">
        <is>
          <t>Delivered</t>
        </is>
      </c>
      <c r="K163" t="inlineStr">
        <is>
          <t>Bank Transfer</t>
        </is>
      </c>
      <c r="L163" t="n">
        <v>3</v>
      </c>
      <c r="M163" s="11" t="n">
        <v>0</v>
      </c>
      <c r="N163" t="inlineStr">
        <is>
          <t>One-time</t>
        </is>
      </c>
      <c r="O163" t="inlineStr">
        <is>
          <t>2026-05</t>
        </is>
      </c>
      <c r="P163" s="11" t="n">
        <v>779.3200000000001</v>
      </c>
      <c r="Q163" s="11" t="n">
        <v>310.66</v>
      </c>
      <c r="R163" s="11" t="n">
        <v>-14.97</v>
      </c>
      <c r="S163" s="11" t="n">
        <v>295.69</v>
      </c>
    </row>
    <row r="164">
      <c r="A164" t="inlineStr">
        <is>
          <t>ORD-1071</t>
        </is>
      </c>
      <c r="B164" s="10" t="n">
        <v>46150</v>
      </c>
      <c r="C164" t="inlineStr">
        <is>
          <t>CUST-038</t>
        </is>
      </c>
      <c r="D164" t="inlineStr">
        <is>
          <t>Northern</t>
        </is>
      </c>
      <c r="E164" t="inlineStr">
        <is>
          <t>Personal Care</t>
        </is>
      </c>
      <c r="F164" s="11" t="n">
        <v>100.19</v>
      </c>
      <c r="G164" s="11" t="n">
        <v>55.13</v>
      </c>
      <c r="H164" s="11" t="n">
        <v>25</v>
      </c>
      <c r="I164" s="11" t="n">
        <v>39.44</v>
      </c>
      <c r="J164" t="inlineStr">
        <is>
          <t>Delivered</t>
        </is>
      </c>
      <c r="K164" t="inlineStr">
        <is>
          <t>Mobile Money</t>
        </is>
      </c>
      <c r="L164" t="n">
        <v>5</v>
      </c>
      <c r="M164" s="11" t="n">
        <v>0</v>
      </c>
      <c r="N164" t="inlineStr">
        <is>
          <t>Repeat</t>
        </is>
      </c>
      <c r="O164" t="inlineStr">
        <is>
          <t>2026-05</t>
        </is>
      </c>
      <c r="P164" s="11" t="n">
        <v>100.19</v>
      </c>
      <c r="Q164" s="11" t="n">
        <v>45.06</v>
      </c>
      <c r="R164" s="11" t="n">
        <v>-14.44</v>
      </c>
      <c r="S164" s="11" t="n">
        <v>30.62</v>
      </c>
    </row>
    <row r="165">
      <c r="A165" t="inlineStr">
        <is>
          <t>ORD-1118</t>
        </is>
      </c>
      <c r="B165" s="10" t="n">
        <v>46151</v>
      </c>
      <c r="C165" t="inlineStr">
        <is>
          <t>CUST-072</t>
        </is>
      </c>
      <c r="D165" t="inlineStr">
        <is>
          <t>Western</t>
        </is>
      </c>
      <c r="E165" t="inlineStr">
        <is>
          <t>Stationery</t>
        </is>
      </c>
      <c r="F165" s="11" t="n">
        <v>148.02</v>
      </c>
      <c r="G165" s="11" t="n">
        <v>53.73</v>
      </c>
      <c r="H165" s="11" t="n">
        <v>10</v>
      </c>
      <c r="I165" s="11" t="n">
        <v>23.36</v>
      </c>
      <c r="J165" t="inlineStr">
        <is>
          <t>Delivered</t>
        </is>
      </c>
      <c r="K165" t="inlineStr">
        <is>
          <t>Mobile Money</t>
        </is>
      </c>
      <c r="L165" t="n">
        <v>2</v>
      </c>
      <c r="M165" s="11" t="n">
        <v>0</v>
      </c>
      <c r="N165" t="inlineStr">
        <is>
          <t>Repeat</t>
        </is>
      </c>
      <c r="O165" t="inlineStr">
        <is>
          <t>2026-05</t>
        </is>
      </c>
      <c r="P165" s="11" t="n">
        <v>148.02</v>
      </c>
      <c r="Q165" s="11" t="n">
        <v>94.29000000000002</v>
      </c>
      <c r="R165" s="11" t="n">
        <v>-13.36</v>
      </c>
      <c r="S165" s="11" t="n">
        <v>80.93000000000001</v>
      </c>
    </row>
    <row r="166">
      <c r="A166" t="inlineStr">
        <is>
          <t>ORD-1206</t>
        </is>
      </c>
      <c r="B166" s="10" t="n">
        <v>46153</v>
      </c>
      <c r="C166" t="inlineStr">
        <is>
          <t>CUST-058</t>
        </is>
      </c>
      <c r="D166" t="inlineStr">
        <is>
          <t>Central</t>
        </is>
      </c>
      <c r="E166" t="inlineStr">
        <is>
          <t>Stationery</t>
        </is>
      </c>
      <c r="F166" s="11" t="n">
        <v>89.81999999999999</v>
      </c>
      <c r="G166" s="11" t="n">
        <v>39.73</v>
      </c>
      <c r="H166" s="11" t="n">
        <v>25</v>
      </c>
      <c r="I166" s="11" t="n">
        <v>37.64</v>
      </c>
      <c r="J166" t="inlineStr">
        <is>
          <t>Delivered</t>
        </is>
      </c>
      <c r="K166" t="inlineStr">
        <is>
          <t>Cash on Delivery</t>
        </is>
      </c>
      <c r="L166" t="n">
        <v>4</v>
      </c>
      <c r="M166" s="11" t="n">
        <v>0</v>
      </c>
      <c r="N166" t="inlineStr">
        <is>
          <t>Repeat</t>
        </is>
      </c>
      <c r="O166" t="inlineStr">
        <is>
          <t>2026-05</t>
        </is>
      </c>
      <c r="P166" s="11" t="n">
        <v>89.81999999999999</v>
      </c>
      <c r="Q166" s="11" t="n">
        <v>50.09</v>
      </c>
      <c r="R166" s="11" t="n">
        <v>-12.64</v>
      </c>
      <c r="S166" s="11" t="n">
        <v>37.45</v>
      </c>
    </row>
    <row r="167">
      <c r="A167" t="inlineStr">
        <is>
          <t>ORD-1160</t>
        </is>
      </c>
      <c r="B167" s="10" t="n">
        <v>46155</v>
      </c>
      <c r="C167" t="inlineStr">
        <is>
          <t>CUST-050</t>
        </is>
      </c>
      <c r="D167" t="inlineStr">
        <is>
          <t>Ashanti</t>
        </is>
      </c>
      <c r="E167" t="inlineStr">
        <is>
          <t>Small Appliances</t>
        </is>
      </c>
      <c r="F167" s="11" t="n">
        <v>308.98</v>
      </c>
      <c r="G167" s="11" t="n">
        <v>228.49</v>
      </c>
      <c r="H167" s="11" t="n">
        <v>25</v>
      </c>
      <c r="I167" s="11" t="n">
        <v>32.15</v>
      </c>
      <c r="J167" t="inlineStr">
        <is>
          <t>Delivered</t>
        </is>
      </c>
      <c r="K167" t="inlineStr">
        <is>
          <t>Cash on Delivery</t>
        </is>
      </c>
      <c r="L167" t="n">
        <v>2</v>
      </c>
      <c r="M167" s="11" t="n">
        <v>0</v>
      </c>
      <c r="N167" t="inlineStr">
        <is>
          <t>Repeat</t>
        </is>
      </c>
      <c r="O167" t="inlineStr">
        <is>
          <t>2026-05</t>
        </is>
      </c>
      <c r="P167" s="11" t="n">
        <v>308.98</v>
      </c>
      <c r="Q167" s="11" t="n">
        <v>80.49000000000001</v>
      </c>
      <c r="R167" s="11" t="n">
        <v>-7.15</v>
      </c>
      <c r="S167" s="11" t="n">
        <v>73.34</v>
      </c>
    </row>
    <row r="168">
      <c r="A168" t="inlineStr">
        <is>
          <t>ORD-1023</t>
        </is>
      </c>
      <c r="B168" s="10" t="n">
        <v>46156</v>
      </c>
      <c r="C168" t="inlineStr">
        <is>
          <t>CUST-069</t>
        </is>
      </c>
      <c r="D168" t="inlineStr">
        <is>
          <t>Ashanti</t>
        </is>
      </c>
      <c r="E168" t="inlineStr">
        <is>
          <t>Personal Care</t>
        </is>
      </c>
      <c r="F168" s="11" t="n">
        <v>283.57</v>
      </c>
      <c r="G168" s="11" t="n">
        <v>151.05</v>
      </c>
      <c r="H168" s="11" t="n">
        <v>15</v>
      </c>
      <c r="I168" s="11" t="n">
        <v>23.64</v>
      </c>
      <c r="J168" t="inlineStr">
        <is>
          <t>Delivered</t>
        </is>
      </c>
      <c r="K168" t="inlineStr">
        <is>
          <t>Cash on Delivery</t>
        </is>
      </c>
      <c r="L168" t="n">
        <v>3</v>
      </c>
      <c r="M168" s="11" t="n">
        <v>0</v>
      </c>
      <c r="N168" t="inlineStr">
        <is>
          <t>Repeat</t>
        </is>
      </c>
      <c r="O168" t="inlineStr">
        <is>
          <t>2026-05</t>
        </is>
      </c>
      <c r="P168" s="11" t="n">
        <v>283.57</v>
      </c>
      <c r="Q168" s="11" t="n">
        <v>132.52</v>
      </c>
      <c r="R168" s="11" t="n">
        <v>-8.640000000000001</v>
      </c>
      <c r="S168" s="11" t="n">
        <v>123.88</v>
      </c>
    </row>
    <row r="169">
      <c r="A169" t="inlineStr">
        <is>
          <t>ORD-1033</t>
        </is>
      </c>
      <c r="B169" s="10" t="n">
        <v>46156</v>
      </c>
      <c r="C169" t="inlineStr">
        <is>
          <t>CUST-063</t>
        </is>
      </c>
      <c r="D169" t="inlineStr">
        <is>
          <t>Northern</t>
        </is>
      </c>
      <c r="E169" t="inlineStr">
        <is>
          <t>Personal Care</t>
        </is>
      </c>
      <c r="F169" s="11" t="n">
        <v>100.51</v>
      </c>
      <c r="G169" s="11" t="n">
        <v>41.61</v>
      </c>
      <c r="H169" s="11" t="n">
        <v>20</v>
      </c>
      <c r="I169" s="11" t="n">
        <v>34.34</v>
      </c>
      <c r="J169" t="inlineStr">
        <is>
          <t>Delivered</t>
        </is>
      </c>
      <c r="K169" t="inlineStr">
        <is>
          <t>Card</t>
        </is>
      </c>
      <c r="L169" t="n">
        <v>4</v>
      </c>
      <c r="M169" s="11" t="n">
        <v>0</v>
      </c>
      <c r="N169" t="inlineStr">
        <is>
          <t>Repeat</t>
        </is>
      </c>
      <c r="O169" t="inlineStr">
        <is>
          <t>2026-05</t>
        </is>
      </c>
      <c r="P169" s="11" t="n">
        <v>100.51</v>
      </c>
      <c r="Q169" s="11" t="n">
        <v>58.90000000000001</v>
      </c>
      <c r="R169" s="11" t="n">
        <v>-14.34</v>
      </c>
      <c r="S169" s="11" t="n">
        <v>44.56</v>
      </c>
    </row>
    <row r="170">
      <c r="A170" t="inlineStr">
        <is>
          <t>ORD-1103</t>
        </is>
      </c>
      <c r="B170" s="10" t="n">
        <v>46156</v>
      </c>
      <c r="C170" t="inlineStr">
        <is>
          <t>CUST-039</t>
        </is>
      </c>
      <c r="D170" t="inlineStr">
        <is>
          <t>Eastern</t>
        </is>
      </c>
      <c r="E170" t="inlineStr">
        <is>
          <t>Home &amp; Kitchen</t>
        </is>
      </c>
      <c r="F170" s="11" t="n">
        <v>628.42</v>
      </c>
      <c r="G170" s="11" t="n">
        <v>283.39</v>
      </c>
      <c r="H170" s="11" t="n">
        <v>25</v>
      </c>
      <c r="I170" s="11" t="n">
        <v>39.47</v>
      </c>
      <c r="J170" t="inlineStr">
        <is>
          <t>Delivered</t>
        </is>
      </c>
      <c r="K170" t="inlineStr">
        <is>
          <t>Mobile Money</t>
        </is>
      </c>
      <c r="L170" t="n">
        <v>2</v>
      </c>
      <c r="M170" s="11" t="n">
        <v>0</v>
      </c>
      <c r="N170" t="inlineStr">
        <is>
          <t>Repeat</t>
        </is>
      </c>
      <c r="O170" t="inlineStr">
        <is>
          <t>2026-05</t>
        </is>
      </c>
      <c r="P170" s="11" t="n">
        <v>628.42</v>
      </c>
      <c r="Q170" s="11" t="n">
        <v>345.03</v>
      </c>
      <c r="R170" s="11" t="n">
        <v>-14.47</v>
      </c>
      <c r="S170" s="11" t="n">
        <v>330.56</v>
      </c>
    </row>
    <row r="171">
      <c r="A171" t="inlineStr">
        <is>
          <t>ORD-1129</t>
        </is>
      </c>
      <c r="B171" s="10" t="n">
        <v>46156</v>
      </c>
      <c r="C171" t="inlineStr">
        <is>
          <t>CUST-079</t>
        </is>
      </c>
      <c r="D171" t="inlineStr">
        <is>
          <t>Greater Accra</t>
        </is>
      </c>
      <c r="E171" t="inlineStr">
        <is>
          <t>Electronics Accessories</t>
        </is>
      </c>
      <c r="F171" s="11" t="n">
        <v>385.74</v>
      </c>
      <c r="G171" s="11" t="n">
        <v>220.23</v>
      </c>
      <c r="H171" s="11" t="n">
        <v>25</v>
      </c>
      <c r="I171" s="11" t="n">
        <v>34.74</v>
      </c>
      <c r="J171" t="inlineStr">
        <is>
          <t>Delivered</t>
        </is>
      </c>
      <c r="K171" t="inlineStr">
        <is>
          <t>Mobile Money</t>
        </is>
      </c>
      <c r="L171" t="n">
        <v>4</v>
      </c>
      <c r="M171" s="11" t="n">
        <v>0</v>
      </c>
      <c r="N171" t="inlineStr">
        <is>
          <t>Repeat</t>
        </is>
      </c>
      <c r="O171" t="inlineStr">
        <is>
          <t>2026-05</t>
        </is>
      </c>
      <c r="P171" s="11" t="n">
        <v>385.74</v>
      </c>
      <c r="Q171" s="11" t="n">
        <v>165.51</v>
      </c>
      <c r="R171" s="11" t="n">
        <v>-9.74</v>
      </c>
      <c r="S171" s="11" t="n">
        <v>155.77</v>
      </c>
    </row>
    <row r="172">
      <c r="A172" t="inlineStr">
        <is>
          <t>ORD-1135</t>
        </is>
      </c>
      <c r="B172" s="10" t="n">
        <v>46157</v>
      </c>
      <c r="C172" t="inlineStr">
        <is>
          <t>CUST-005</t>
        </is>
      </c>
      <c r="D172" t="inlineStr">
        <is>
          <t>Central</t>
        </is>
      </c>
      <c r="E172" t="inlineStr">
        <is>
          <t>Personal Care</t>
        </is>
      </c>
      <c r="F172" s="11" t="n">
        <v>266.01</v>
      </c>
      <c r="G172" s="11" t="n">
        <v>136</v>
      </c>
      <c r="H172" s="11" t="n">
        <v>30</v>
      </c>
      <c r="I172" s="11" t="n">
        <v>40.77</v>
      </c>
      <c r="J172" t="inlineStr">
        <is>
          <t>Delivered</t>
        </is>
      </c>
      <c r="K172" t="inlineStr">
        <is>
          <t>Card</t>
        </is>
      </c>
      <c r="L172" t="n">
        <v>3</v>
      </c>
      <c r="M172" s="11" t="n">
        <v>0</v>
      </c>
      <c r="N172" t="inlineStr">
        <is>
          <t>Repeat</t>
        </is>
      </c>
      <c r="O172" t="inlineStr">
        <is>
          <t>2026-05</t>
        </is>
      </c>
      <c r="P172" s="11" t="n">
        <v>266.01</v>
      </c>
      <c r="Q172" s="11" t="n">
        <v>130.01</v>
      </c>
      <c r="R172" s="11" t="n">
        <v>-10.77</v>
      </c>
      <c r="S172" s="11" t="n">
        <v>119.24</v>
      </c>
    </row>
    <row r="173">
      <c r="A173" t="inlineStr">
        <is>
          <t>ORD-1204</t>
        </is>
      </c>
      <c r="B173" s="10" t="n">
        <v>46157</v>
      </c>
      <c r="C173" t="inlineStr">
        <is>
          <t>CUST-058</t>
        </is>
      </c>
      <c r="D173" t="inlineStr">
        <is>
          <t>Central</t>
        </is>
      </c>
      <c r="E173" t="inlineStr">
        <is>
          <t>Personal Care</t>
        </is>
      </c>
      <c r="F173" s="11" t="n">
        <v>124.49</v>
      </c>
      <c r="G173" s="11" t="n">
        <v>70.34999999999999</v>
      </c>
      <c r="H173" s="11" t="n">
        <v>10</v>
      </c>
      <c r="I173" s="11" t="n">
        <v>17.62</v>
      </c>
      <c r="J173" t="inlineStr">
        <is>
          <t>Delivered</t>
        </is>
      </c>
      <c r="K173" t="inlineStr">
        <is>
          <t>Cash on Delivery</t>
        </is>
      </c>
      <c r="L173" t="n">
        <v>4</v>
      </c>
      <c r="M173" s="11" t="n">
        <v>0</v>
      </c>
      <c r="N173" t="inlineStr">
        <is>
          <t>Repeat</t>
        </is>
      </c>
      <c r="O173" t="inlineStr">
        <is>
          <t>2026-05</t>
        </is>
      </c>
      <c r="P173" s="11" t="n">
        <v>124.49</v>
      </c>
      <c r="Q173" s="11" t="n">
        <v>54.14</v>
      </c>
      <c r="R173" s="11" t="n">
        <v>-7.62</v>
      </c>
      <c r="S173" s="11" t="n">
        <v>46.52</v>
      </c>
    </row>
    <row r="174">
      <c r="A174" t="inlineStr">
        <is>
          <t>ORD-1002</t>
        </is>
      </c>
      <c r="B174" s="10" t="n">
        <v>46160</v>
      </c>
      <c r="C174" t="inlineStr">
        <is>
          <t>CUST-058</t>
        </is>
      </c>
      <c r="D174" t="inlineStr">
        <is>
          <t>Central</t>
        </is>
      </c>
      <c r="E174" t="inlineStr">
        <is>
          <t>Electronics Accessories</t>
        </is>
      </c>
      <c r="F174" s="11" t="n">
        <v>230.46</v>
      </c>
      <c r="G174" s="11" t="n">
        <v>139.03</v>
      </c>
      <c r="H174" s="11" t="n">
        <v>10</v>
      </c>
      <c r="I174" s="11" t="n">
        <v>21.43</v>
      </c>
      <c r="J174" t="inlineStr">
        <is>
          <t>Failed</t>
        </is>
      </c>
      <c r="K174" t="inlineStr">
        <is>
          <t>Cash on Delivery</t>
        </is>
      </c>
      <c r="L174" t="n">
        <v>2</v>
      </c>
      <c r="M174" s="11" t="n">
        <v>19.09</v>
      </c>
      <c r="N174" t="inlineStr">
        <is>
          <t>Repeat</t>
        </is>
      </c>
      <c r="O174" t="inlineStr">
        <is>
          <t>2026-05</t>
        </is>
      </c>
      <c r="P174" s="11" t="n">
        <v>0</v>
      </c>
      <c r="Q174" s="11" t="n">
        <v>0</v>
      </c>
      <c r="R174" s="11" t="n">
        <v>-11.43</v>
      </c>
      <c r="S174" s="11" t="n">
        <v>-30.52</v>
      </c>
    </row>
    <row r="175">
      <c r="A175" t="inlineStr">
        <is>
          <t>ORD-1003</t>
        </is>
      </c>
      <c r="B175" s="10" t="n">
        <v>46161</v>
      </c>
      <c r="C175" t="inlineStr">
        <is>
          <t>CUST-002</t>
        </is>
      </c>
      <c r="D175" t="inlineStr">
        <is>
          <t>Greater Accra</t>
        </is>
      </c>
      <c r="E175" t="inlineStr">
        <is>
          <t>Small Appliances</t>
        </is>
      </c>
      <c r="F175" s="11" t="n">
        <v>1400.6</v>
      </c>
      <c r="G175" s="11" t="n">
        <v>1054.32</v>
      </c>
      <c r="H175" s="11" t="n">
        <v>15</v>
      </c>
      <c r="I175" s="11" t="n">
        <v>21.06</v>
      </c>
      <c r="J175" t="inlineStr">
        <is>
          <t>Delivered</t>
        </is>
      </c>
      <c r="K175" t="inlineStr">
        <is>
          <t>Card</t>
        </is>
      </c>
      <c r="L175" t="n">
        <v>1</v>
      </c>
      <c r="M175" s="11" t="n">
        <v>0</v>
      </c>
      <c r="N175" t="inlineStr">
        <is>
          <t>Repeat</t>
        </is>
      </c>
      <c r="O175" t="inlineStr">
        <is>
          <t>2026-05</t>
        </is>
      </c>
      <c r="P175" s="11" t="n">
        <v>1400.6</v>
      </c>
      <c r="Q175" s="11" t="n">
        <v>346.28</v>
      </c>
      <c r="R175" s="11" t="n">
        <v>-6.06</v>
      </c>
      <c r="S175" s="11" t="n">
        <v>340.22</v>
      </c>
    </row>
    <row r="176">
      <c r="A176" t="inlineStr">
        <is>
          <t>ORD-1040</t>
        </is>
      </c>
      <c r="B176" s="10" t="n">
        <v>46161</v>
      </c>
      <c r="C176" t="inlineStr">
        <is>
          <t>CUST-007</t>
        </is>
      </c>
      <c r="D176" t="inlineStr">
        <is>
          <t>Eastern</t>
        </is>
      </c>
      <c r="E176" t="inlineStr">
        <is>
          <t>Small Appliances</t>
        </is>
      </c>
      <c r="F176" s="11" t="n">
        <v>622.45</v>
      </c>
      <c r="G176" s="11" t="n">
        <v>446.31</v>
      </c>
      <c r="H176" s="11" t="n">
        <v>10</v>
      </c>
      <c r="I176" s="11" t="n">
        <v>23.54</v>
      </c>
      <c r="J176" t="inlineStr">
        <is>
          <t>Failed</t>
        </is>
      </c>
      <c r="K176" t="inlineStr">
        <is>
          <t>Mobile Money</t>
        </is>
      </c>
      <c r="L176" t="n">
        <v>2</v>
      </c>
      <c r="M176" s="11" t="n">
        <v>18.56</v>
      </c>
      <c r="N176" t="inlineStr">
        <is>
          <t>Repeat</t>
        </is>
      </c>
      <c r="O176" t="inlineStr">
        <is>
          <t>2026-05</t>
        </is>
      </c>
      <c r="P176" s="11" t="n">
        <v>0</v>
      </c>
      <c r="Q176" s="11" t="n">
        <v>0</v>
      </c>
      <c r="R176" s="11" t="n">
        <v>-13.54</v>
      </c>
      <c r="S176" s="11" t="n">
        <v>-32.1</v>
      </c>
    </row>
    <row r="177">
      <c r="A177" t="inlineStr">
        <is>
          <t>ORD-1089</t>
        </is>
      </c>
      <c r="B177" s="10" t="n">
        <v>46161</v>
      </c>
      <c r="C177" t="inlineStr">
        <is>
          <t>CUST-047</t>
        </is>
      </c>
      <c r="D177" t="inlineStr">
        <is>
          <t>Greater Accra</t>
        </is>
      </c>
      <c r="E177" t="inlineStr">
        <is>
          <t>Personal Care</t>
        </is>
      </c>
      <c r="F177" s="11" t="n">
        <v>276.21</v>
      </c>
      <c r="G177" s="11" t="n">
        <v>151.77</v>
      </c>
      <c r="H177" s="11" t="n">
        <v>20</v>
      </c>
      <c r="I177" s="11" t="n">
        <v>31.14</v>
      </c>
      <c r="J177" t="inlineStr">
        <is>
          <t>Failed</t>
        </is>
      </c>
      <c r="K177" t="inlineStr">
        <is>
          <t>Bank Transfer</t>
        </is>
      </c>
      <c r="L177" t="n">
        <v>6</v>
      </c>
      <c r="M177" s="11" t="n">
        <v>20.69</v>
      </c>
      <c r="N177" t="inlineStr">
        <is>
          <t>Repeat</t>
        </is>
      </c>
      <c r="O177" t="inlineStr">
        <is>
          <t>2026-05</t>
        </is>
      </c>
      <c r="P177" s="11" t="n">
        <v>0</v>
      </c>
      <c r="Q177" s="11" t="n">
        <v>0</v>
      </c>
      <c r="R177" s="11" t="n">
        <v>-11.14</v>
      </c>
      <c r="S177" s="11" t="n">
        <v>-31.83</v>
      </c>
    </row>
    <row r="178">
      <c r="A178" t="inlineStr">
        <is>
          <t>ORD-1208</t>
        </is>
      </c>
      <c r="B178" s="10" t="n">
        <v>46161</v>
      </c>
      <c r="C178" t="inlineStr">
        <is>
          <t>CUST-008</t>
        </is>
      </c>
      <c r="D178" t="inlineStr">
        <is>
          <t>Greater Accra</t>
        </is>
      </c>
      <c r="E178" t="inlineStr">
        <is>
          <t>Small Appliances</t>
        </is>
      </c>
      <c r="F178" s="11" t="n">
        <v>243.18</v>
      </c>
      <c r="G178" s="11" t="n">
        <v>186.78</v>
      </c>
      <c r="H178" s="11" t="n">
        <v>10</v>
      </c>
      <c r="I178" s="11" t="n">
        <v>14.87</v>
      </c>
      <c r="J178" t="inlineStr">
        <is>
          <t>Delivered</t>
        </is>
      </c>
      <c r="K178" t="inlineStr">
        <is>
          <t>Mobile Money</t>
        </is>
      </c>
      <c r="L178" t="n">
        <v>4</v>
      </c>
      <c r="M178" s="11" t="n">
        <v>0</v>
      </c>
      <c r="N178" t="inlineStr">
        <is>
          <t>Repeat</t>
        </is>
      </c>
      <c r="O178" t="inlineStr">
        <is>
          <t>2026-05</t>
        </is>
      </c>
      <c r="P178" s="11" t="n">
        <v>243.18</v>
      </c>
      <c r="Q178" s="11" t="n">
        <v>56.40000000000001</v>
      </c>
      <c r="R178" s="11" t="n">
        <v>-4.87</v>
      </c>
      <c r="S178" s="11" t="n">
        <v>51.53</v>
      </c>
    </row>
    <row r="179">
      <c r="A179" t="inlineStr">
        <is>
          <t>ORD-1097</t>
        </is>
      </c>
      <c r="B179" s="10" t="n">
        <v>46162</v>
      </c>
      <c r="C179" t="inlineStr">
        <is>
          <t>CUST-083</t>
        </is>
      </c>
      <c r="D179" t="inlineStr">
        <is>
          <t>Northern</t>
        </is>
      </c>
      <c r="E179" t="inlineStr">
        <is>
          <t>Home &amp; Kitchen</t>
        </is>
      </c>
      <c r="F179" s="11" t="n">
        <v>288.88</v>
      </c>
      <c r="G179" s="11" t="n">
        <v>136.98</v>
      </c>
      <c r="H179" s="11" t="n">
        <v>10</v>
      </c>
      <c r="I179" s="11" t="n">
        <v>31.49</v>
      </c>
      <c r="J179" t="inlineStr">
        <is>
          <t>Failed</t>
        </is>
      </c>
      <c r="K179" t="inlineStr">
        <is>
          <t>Mobile Money</t>
        </is>
      </c>
      <c r="L179" t="n">
        <v>5</v>
      </c>
      <c r="M179" s="11" t="n">
        <v>18.91</v>
      </c>
      <c r="N179" t="inlineStr">
        <is>
          <t>Repeat</t>
        </is>
      </c>
      <c r="O179" t="inlineStr">
        <is>
          <t>2026-05</t>
        </is>
      </c>
      <c r="P179" s="11" t="n">
        <v>0</v>
      </c>
      <c r="Q179" s="11" t="n">
        <v>0</v>
      </c>
      <c r="R179" s="11" t="n">
        <v>-21.49</v>
      </c>
      <c r="S179" s="11" t="n">
        <v>-40.4</v>
      </c>
    </row>
    <row r="180">
      <c r="A180" t="inlineStr">
        <is>
          <t>ORD-1211</t>
        </is>
      </c>
      <c r="B180" s="10" t="n">
        <v>46162</v>
      </c>
      <c r="C180" t="inlineStr">
        <is>
          <t>CUST-055</t>
        </is>
      </c>
      <c r="D180" t="inlineStr">
        <is>
          <t>Northern</t>
        </is>
      </c>
      <c r="E180" t="inlineStr">
        <is>
          <t>Personal Care</t>
        </is>
      </c>
      <c r="F180" s="11" t="n">
        <v>251.42</v>
      </c>
      <c r="G180" s="11" t="n">
        <v>111.77</v>
      </c>
      <c r="H180" s="11" t="n">
        <v>20</v>
      </c>
      <c r="I180" s="11" t="n">
        <v>33.55</v>
      </c>
      <c r="J180" t="inlineStr">
        <is>
          <t>Delivered</t>
        </is>
      </c>
      <c r="K180" t="inlineStr">
        <is>
          <t>Card</t>
        </is>
      </c>
      <c r="L180" t="n">
        <v>5</v>
      </c>
      <c r="M180" s="11" t="n">
        <v>0</v>
      </c>
      <c r="N180" t="inlineStr">
        <is>
          <t>One-time</t>
        </is>
      </c>
      <c r="O180" t="inlineStr">
        <is>
          <t>2026-05</t>
        </is>
      </c>
      <c r="P180" s="11" t="n">
        <v>251.42</v>
      </c>
      <c r="Q180" s="11" t="n">
        <v>139.65</v>
      </c>
      <c r="R180" s="11" t="n">
        <v>-13.55</v>
      </c>
      <c r="S180" s="11" t="n">
        <v>126.1</v>
      </c>
    </row>
    <row r="181">
      <c r="A181" t="inlineStr">
        <is>
          <t>ORD-1032</t>
        </is>
      </c>
      <c r="B181" s="10" t="n">
        <v>46163</v>
      </c>
      <c r="C181" t="inlineStr">
        <is>
          <t>CUST-058</t>
        </is>
      </c>
      <c r="D181" t="inlineStr">
        <is>
          <t>Central</t>
        </is>
      </c>
      <c r="E181" t="inlineStr">
        <is>
          <t>Small Appliances</t>
        </is>
      </c>
      <c r="F181" s="11" t="n">
        <v>1153.93</v>
      </c>
      <c r="G181" s="11" t="n">
        <v>790.95</v>
      </c>
      <c r="H181" s="11" t="n">
        <v>20</v>
      </c>
      <c r="I181" s="11" t="n">
        <v>34.52</v>
      </c>
      <c r="J181" t="inlineStr">
        <is>
          <t>Delivered</t>
        </is>
      </c>
      <c r="K181" t="inlineStr">
        <is>
          <t>Mobile Money</t>
        </is>
      </c>
      <c r="L181" t="n">
        <v>2</v>
      </c>
      <c r="M181" s="11" t="n">
        <v>0</v>
      </c>
      <c r="N181" t="inlineStr">
        <is>
          <t>Repeat</t>
        </is>
      </c>
      <c r="O181" t="inlineStr">
        <is>
          <t>2026-05</t>
        </is>
      </c>
      <c r="P181" s="11" t="n">
        <v>1153.93</v>
      </c>
      <c r="Q181" s="11" t="n">
        <v>362.98</v>
      </c>
      <c r="R181" s="11" t="n">
        <v>-14.52</v>
      </c>
      <c r="S181" s="11" t="n">
        <v>348.46</v>
      </c>
    </row>
    <row r="182">
      <c r="A182" t="inlineStr">
        <is>
          <t>ORD-1178</t>
        </is>
      </c>
      <c r="B182" s="10" t="n">
        <v>46163</v>
      </c>
      <c r="C182" t="inlineStr">
        <is>
          <t>CUST-036</t>
        </is>
      </c>
      <c r="D182" t="inlineStr">
        <is>
          <t>Northern</t>
        </is>
      </c>
      <c r="E182" t="inlineStr">
        <is>
          <t>Stationery</t>
        </is>
      </c>
      <c r="F182" s="11" t="n">
        <v>117.83</v>
      </c>
      <c r="G182" s="11" t="n">
        <v>54.2</v>
      </c>
      <c r="H182" s="11" t="n">
        <v>15</v>
      </c>
      <c r="I182" s="11" t="n">
        <v>36.75</v>
      </c>
      <c r="J182" t="inlineStr">
        <is>
          <t>Delivered</t>
        </is>
      </c>
      <c r="K182" t="inlineStr">
        <is>
          <t>Card</t>
        </is>
      </c>
      <c r="L182" t="n">
        <v>4</v>
      </c>
      <c r="M182" s="11" t="n">
        <v>0</v>
      </c>
      <c r="N182" t="inlineStr">
        <is>
          <t>Repeat</t>
        </is>
      </c>
      <c r="O182" t="inlineStr">
        <is>
          <t>2026-05</t>
        </is>
      </c>
      <c r="P182" s="11" t="n">
        <v>117.83</v>
      </c>
      <c r="Q182" s="11" t="n">
        <v>63.63</v>
      </c>
      <c r="R182" s="11" t="n">
        <v>-21.75</v>
      </c>
      <c r="S182" s="11" t="n">
        <v>41.88</v>
      </c>
    </row>
    <row r="183">
      <c r="A183" t="inlineStr">
        <is>
          <t>ORD-1203</t>
        </is>
      </c>
      <c r="B183" s="10" t="n">
        <v>46163</v>
      </c>
      <c r="C183" t="inlineStr">
        <is>
          <t>CUST-061</t>
        </is>
      </c>
      <c r="D183" t="inlineStr">
        <is>
          <t>Western</t>
        </is>
      </c>
      <c r="E183" t="inlineStr">
        <is>
          <t>Stationery</t>
        </is>
      </c>
      <c r="F183" s="11" t="n">
        <v>147.33</v>
      </c>
      <c r="G183" s="11" t="n">
        <v>73.45999999999999</v>
      </c>
      <c r="H183" s="11" t="n">
        <v>15</v>
      </c>
      <c r="I183" s="11" t="n">
        <v>30.8</v>
      </c>
      <c r="J183" t="inlineStr">
        <is>
          <t>Delivered</t>
        </is>
      </c>
      <c r="K183" t="inlineStr">
        <is>
          <t>Card</t>
        </is>
      </c>
      <c r="L183" t="n">
        <v>4</v>
      </c>
      <c r="M183" s="11" t="n">
        <v>0</v>
      </c>
      <c r="N183" t="inlineStr">
        <is>
          <t>Repeat</t>
        </is>
      </c>
      <c r="O183" t="inlineStr">
        <is>
          <t>2026-05</t>
        </is>
      </c>
      <c r="P183" s="11" t="n">
        <v>147.33</v>
      </c>
      <c r="Q183" s="11" t="n">
        <v>73.87000000000002</v>
      </c>
      <c r="R183" s="11" t="n">
        <v>-15.8</v>
      </c>
      <c r="S183" s="11" t="n">
        <v>58.07</v>
      </c>
    </row>
    <row r="184">
      <c r="A184" t="inlineStr">
        <is>
          <t>ORD-1005</t>
        </is>
      </c>
      <c r="B184" s="10" t="n">
        <v>46165</v>
      </c>
      <c r="C184" t="inlineStr">
        <is>
          <t>CUST-085</t>
        </is>
      </c>
      <c r="D184" t="inlineStr">
        <is>
          <t>Ashanti</t>
        </is>
      </c>
      <c r="E184" t="inlineStr">
        <is>
          <t>Stationery</t>
        </is>
      </c>
      <c r="F184" s="11" t="n">
        <v>40.54</v>
      </c>
      <c r="G184" s="11" t="n">
        <v>16.35</v>
      </c>
      <c r="H184" s="11" t="n">
        <v>10</v>
      </c>
      <c r="I184" s="11" t="n">
        <v>20.79</v>
      </c>
      <c r="J184" t="inlineStr">
        <is>
          <t>Delivered</t>
        </is>
      </c>
      <c r="K184" t="inlineStr">
        <is>
          <t>Cash on Delivery</t>
        </is>
      </c>
      <c r="L184" t="n">
        <v>4</v>
      </c>
      <c r="M184" s="11" t="n">
        <v>0</v>
      </c>
      <c r="N184" t="inlineStr">
        <is>
          <t>Repeat</t>
        </is>
      </c>
      <c r="O184" t="inlineStr">
        <is>
          <t>2026-05</t>
        </is>
      </c>
      <c r="P184" s="11" t="n">
        <v>40.54</v>
      </c>
      <c r="Q184" s="11" t="n">
        <v>24.19</v>
      </c>
      <c r="R184" s="11" t="n">
        <v>-10.79</v>
      </c>
      <c r="S184" s="11" t="n">
        <v>13.4</v>
      </c>
    </row>
    <row r="185">
      <c r="A185" t="inlineStr">
        <is>
          <t>ORD-1091</t>
        </is>
      </c>
      <c r="B185" s="10" t="n">
        <v>46165</v>
      </c>
      <c r="C185" t="inlineStr">
        <is>
          <t>CUST-047</t>
        </is>
      </c>
      <c r="D185" t="inlineStr">
        <is>
          <t>Greater Accra</t>
        </is>
      </c>
      <c r="E185" t="inlineStr">
        <is>
          <t>Electronics Accessories</t>
        </is>
      </c>
      <c r="F185" s="11" t="n">
        <v>403.55</v>
      </c>
      <c r="G185" s="11" t="n">
        <v>229.06</v>
      </c>
      <c r="H185" s="11" t="n">
        <v>10</v>
      </c>
      <c r="I185" s="11" t="n">
        <v>16.55</v>
      </c>
      <c r="J185" t="inlineStr">
        <is>
          <t>Delivered</t>
        </is>
      </c>
      <c r="K185" t="inlineStr">
        <is>
          <t>Cash on Delivery</t>
        </is>
      </c>
      <c r="L185" t="n">
        <v>1</v>
      </c>
      <c r="M185" s="11" t="n">
        <v>0</v>
      </c>
      <c r="N185" t="inlineStr">
        <is>
          <t>Repeat</t>
        </is>
      </c>
      <c r="O185" t="inlineStr">
        <is>
          <t>2026-05</t>
        </is>
      </c>
      <c r="P185" s="11" t="n">
        <v>403.55</v>
      </c>
      <c r="Q185" s="11" t="n">
        <v>174.49</v>
      </c>
      <c r="R185" s="11" t="n">
        <v>-6.55</v>
      </c>
      <c r="S185" s="11" t="n">
        <v>167.94</v>
      </c>
    </row>
    <row r="186">
      <c r="A186" t="inlineStr">
        <is>
          <t>ORD-1111</t>
        </is>
      </c>
      <c r="B186" s="10" t="n">
        <v>46165</v>
      </c>
      <c r="C186" t="inlineStr">
        <is>
          <t>CUST-004</t>
        </is>
      </c>
      <c r="D186" t="inlineStr">
        <is>
          <t>Greater Accra</t>
        </is>
      </c>
      <c r="E186" t="inlineStr">
        <is>
          <t>Personal Care</t>
        </is>
      </c>
      <c r="F186" s="11" t="n">
        <v>205.9</v>
      </c>
      <c r="G186" s="11" t="n">
        <v>108.06</v>
      </c>
      <c r="H186" s="11" t="n">
        <v>10</v>
      </c>
      <c r="I186" s="11" t="n">
        <v>13.8</v>
      </c>
      <c r="J186" t="inlineStr">
        <is>
          <t>Delivered</t>
        </is>
      </c>
      <c r="K186" t="inlineStr">
        <is>
          <t>Mobile Money</t>
        </is>
      </c>
      <c r="L186" t="n">
        <v>1</v>
      </c>
      <c r="M186" s="11" t="n">
        <v>0</v>
      </c>
      <c r="N186" t="inlineStr">
        <is>
          <t>One-time</t>
        </is>
      </c>
      <c r="O186" t="inlineStr">
        <is>
          <t>2026-05</t>
        </is>
      </c>
      <c r="P186" s="11" t="n">
        <v>205.9</v>
      </c>
      <c r="Q186" s="11" t="n">
        <v>97.84</v>
      </c>
      <c r="R186" s="11" t="n">
        <v>-3.8</v>
      </c>
      <c r="S186" s="11" t="n">
        <v>94.04000000000001</v>
      </c>
    </row>
    <row r="187">
      <c r="A187" t="inlineStr">
        <is>
          <t>ORD-1242</t>
        </is>
      </c>
      <c r="B187" s="10" t="n">
        <v>46165</v>
      </c>
      <c r="C187" t="inlineStr">
        <is>
          <t>CUST-072</t>
        </is>
      </c>
      <c r="D187" t="inlineStr">
        <is>
          <t>Western</t>
        </is>
      </c>
      <c r="E187" t="inlineStr">
        <is>
          <t>Personal Care</t>
        </is>
      </c>
      <c r="F187" s="11" t="n">
        <v>53.41</v>
      </c>
      <c r="G187" s="11" t="n">
        <v>22.23</v>
      </c>
      <c r="H187" s="11" t="n">
        <v>30</v>
      </c>
      <c r="I187" s="11" t="n">
        <v>39.93</v>
      </c>
      <c r="J187" t="inlineStr">
        <is>
          <t>Delivered</t>
        </is>
      </c>
      <c r="K187" t="inlineStr">
        <is>
          <t>Mobile Money</t>
        </is>
      </c>
      <c r="L187" t="n">
        <v>4</v>
      </c>
      <c r="M187" s="11" t="n">
        <v>0</v>
      </c>
      <c r="N187" t="inlineStr">
        <is>
          <t>Repeat</t>
        </is>
      </c>
      <c r="O187" t="inlineStr">
        <is>
          <t>2026-05</t>
        </is>
      </c>
      <c r="P187" s="11" t="n">
        <v>53.41</v>
      </c>
      <c r="Q187" s="11" t="n">
        <v>31.18</v>
      </c>
      <c r="R187" s="11" t="n">
        <v>-9.93</v>
      </c>
      <c r="S187" s="11" t="n">
        <v>21.25</v>
      </c>
    </row>
    <row r="188">
      <c r="A188" t="inlineStr">
        <is>
          <t>ORD-1191</t>
        </is>
      </c>
      <c r="B188" s="10" t="n">
        <v>46166</v>
      </c>
      <c r="C188" t="inlineStr">
        <is>
          <t>CUST-090</t>
        </is>
      </c>
      <c r="D188" t="inlineStr">
        <is>
          <t>Greater Accra</t>
        </is>
      </c>
      <c r="E188" t="inlineStr">
        <is>
          <t>Home &amp; Kitchen</t>
        </is>
      </c>
      <c r="F188" s="11" t="n">
        <v>115.54</v>
      </c>
      <c r="G188" s="11" t="n">
        <v>66.25</v>
      </c>
      <c r="H188" s="11" t="n">
        <v>15</v>
      </c>
      <c r="I188" s="11" t="n">
        <v>19.42</v>
      </c>
      <c r="J188" t="inlineStr">
        <is>
          <t>Delivered</t>
        </is>
      </c>
      <c r="K188" t="inlineStr">
        <is>
          <t>Cash on Delivery</t>
        </is>
      </c>
      <c r="L188" t="n">
        <v>3</v>
      </c>
      <c r="M188" s="11" t="n">
        <v>0</v>
      </c>
      <c r="N188" t="inlineStr">
        <is>
          <t>Repeat</t>
        </is>
      </c>
      <c r="O188" t="inlineStr">
        <is>
          <t>2026-05</t>
        </is>
      </c>
      <c r="P188" s="11" t="n">
        <v>115.54</v>
      </c>
      <c r="Q188" s="11" t="n">
        <v>49.29000000000001</v>
      </c>
      <c r="R188" s="11" t="n">
        <v>-4.42</v>
      </c>
      <c r="S188" s="11" t="n">
        <v>44.87</v>
      </c>
    </row>
    <row r="189">
      <c r="A189" t="inlineStr">
        <is>
          <t>ORD-1124</t>
        </is>
      </c>
      <c r="B189" s="10" t="n">
        <v>46167</v>
      </c>
      <c r="C189" t="inlineStr">
        <is>
          <t>CUST-083</t>
        </is>
      </c>
      <c r="D189" t="inlineStr">
        <is>
          <t>Northern</t>
        </is>
      </c>
      <c r="E189" t="inlineStr">
        <is>
          <t>Personal Care</t>
        </is>
      </c>
      <c r="F189" s="11" t="n">
        <v>196.74</v>
      </c>
      <c r="G189" s="11" t="n">
        <v>109.3</v>
      </c>
      <c r="H189" s="11" t="n">
        <v>20</v>
      </c>
      <c r="I189" s="11" t="n">
        <v>33.51</v>
      </c>
      <c r="J189" t="inlineStr">
        <is>
          <t>Delivered</t>
        </is>
      </c>
      <c r="K189" t="inlineStr">
        <is>
          <t>Mobile Money</t>
        </is>
      </c>
      <c r="L189" t="n">
        <v>4</v>
      </c>
      <c r="M189" s="11" t="n">
        <v>0</v>
      </c>
      <c r="N189" t="inlineStr">
        <is>
          <t>Repeat</t>
        </is>
      </c>
      <c r="O189" t="inlineStr">
        <is>
          <t>2026-05</t>
        </is>
      </c>
      <c r="P189" s="11" t="n">
        <v>196.74</v>
      </c>
      <c r="Q189" s="11" t="n">
        <v>87.44000000000001</v>
      </c>
      <c r="R189" s="11" t="n">
        <v>-13.51</v>
      </c>
      <c r="S189" s="11" t="n">
        <v>73.93000000000001</v>
      </c>
    </row>
    <row r="190">
      <c r="A190" t="inlineStr">
        <is>
          <t>ORD-1138</t>
        </is>
      </c>
      <c r="B190" s="10" t="n">
        <v>46169</v>
      </c>
      <c r="C190" t="inlineStr">
        <is>
          <t>CUST-057</t>
        </is>
      </c>
      <c r="D190" t="inlineStr">
        <is>
          <t>Greater Accra</t>
        </is>
      </c>
      <c r="E190" t="inlineStr">
        <is>
          <t>Home &amp; Kitchen</t>
        </is>
      </c>
      <c r="F190" s="11" t="n">
        <v>219.06</v>
      </c>
      <c r="G190" s="11" t="n">
        <v>111.44</v>
      </c>
      <c r="H190" s="11" t="n">
        <v>30</v>
      </c>
      <c r="I190" s="11" t="n">
        <v>36.19</v>
      </c>
      <c r="J190" t="inlineStr">
        <is>
          <t>Delivered</t>
        </is>
      </c>
      <c r="K190" t="inlineStr">
        <is>
          <t>Mobile Money</t>
        </is>
      </c>
      <c r="L190" t="n">
        <v>2</v>
      </c>
      <c r="M190" s="11" t="n">
        <v>0</v>
      </c>
      <c r="N190" t="inlineStr">
        <is>
          <t>Repeat</t>
        </is>
      </c>
      <c r="O190" t="inlineStr">
        <is>
          <t>2026-05</t>
        </is>
      </c>
      <c r="P190" s="11" t="n">
        <v>219.06</v>
      </c>
      <c r="Q190" s="11" t="n">
        <v>107.62</v>
      </c>
      <c r="R190" s="11" t="n">
        <v>-6.19</v>
      </c>
      <c r="S190" s="11" t="n">
        <v>101.43</v>
      </c>
    </row>
    <row r="191">
      <c r="A191" t="inlineStr">
        <is>
          <t>ORD-1159</t>
        </is>
      </c>
      <c r="B191" s="10" t="n">
        <v>46169</v>
      </c>
      <c r="C191" t="inlineStr">
        <is>
          <t>CUST-018</t>
        </is>
      </c>
      <c r="D191" t="inlineStr">
        <is>
          <t>Northern</t>
        </is>
      </c>
      <c r="E191" t="inlineStr">
        <is>
          <t>Personal Care</t>
        </is>
      </c>
      <c r="F191" s="11" t="n">
        <v>134.46</v>
      </c>
      <c r="G191" s="11" t="n">
        <v>69.51000000000001</v>
      </c>
      <c r="H191" s="11" t="n">
        <v>15</v>
      </c>
      <c r="I191" s="11" t="n">
        <v>36.61</v>
      </c>
      <c r="J191" t="inlineStr">
        <is>
          <t>Delivered</t>
        </is>
      </c>
      <c r="K191" t="inlineStr">
        <is>
          <t>Mobile Money</t>
        </is>
      </c>
      <c r="L191" t="n">
        <v>3</v>
      </c>
      <c r="M191" s="11" t="n">
        <v>0</v>
      </c>
      <c r="N191" t="inlineStr">
        <is>
          <t>Repeat</t>
        </is>
      </c>
      <c r="O191" t="inlineStr">
        <is>
          <t>2026-05</t>
        </is>
      </c>
      <c r="P191" s="11" t="n">
        <v>134.46</v>
      </c>
      <c r="Q191" s="11" t="n">
        <v>64.95</v>
      </c>
      <c r="R191" s="11" t="n">
        <v>-21.61</v>
      </c>
      <c r="S191" s="11" t="n">
        <v>43.34</v>
      </c>
    </row>
    <row r="192">
      <c r="A192" t="inlineStr">
        <is>
          <t>ORD-1170</t>
        </is>
      </c>
      <c r="B192" s="10" t="n">
        <v>46169</v>
      </c>
      <c r="C192" t="inlineStr">
        <is>
          <t>CUST-054</t>
        </is>
      </c>
      <c r="D192" t="inlineStr">
        <is>
          <t>Western</t>
        </is>
      </c>
      <c r="E192" t="inlineStr">
        <is>
          <t>Personal Care</t>
        </is>
      </c>
      <c r="F192" s="11" t="n">
        <v>33.33</v>
      </c>
      <c r="G192" s="11" t="n">
        <v>18.67</v>
      </c>
      <c r="H192" s="11" t="n">
        <v>30</v>
      </c>
      <c r="I192" s="11" t="n">
        <v>41.9</v>
      </c>
      <c r="J192" t="inlineStr">
        <is>
          <t>Failed</t>
        </is>
      </c>
      <c r="K192" t="inlineStr">
        <is>
          <t>Cash on Delivery</t>
        </is>
      </c>
      <c r="L192" t="n">
        <v>8</v>
      </c>
      <c r="M192" s="11" t="n">
        <v>13.06</v>
      </c>
      <c r="N192" t="inlineStr">
        <is>
          <t>Repeat</t>
        </is>
      </c>
      <c r="O192" t="inlineStr">
        <is>
          <t>2026-05</t>
        </is>
      </c>
      <c r="P192" s="11" t="n">
        <v>0</v>
      </c>
      <c r="Q192" s="11" t="n">
        <v>0</v>
      </c>
      <c r="R192" s="11" t="n">
        <v>-11.9</v>
      </c>
      <c r="S192" s="11" t="n">
        <v>-24.96</v>
      </c>
    </row>
    <row r="193">
      <c r="A193" t="inlineStr">
        <is>
          <t>ORD-1189</t>
        </is>
      </c>
      <c r="B193" s="10" t="n">
        <v>46169</v>
      </c>
      <c r="C193" t="inlineStr">
        <is>
          <t>CUST-087</t>
        </is>
      </c>
      <c r="D193" t="inlineStr">
        <is>
          <t>Western</t>
        </is>
      </c>
      <c r="E193" t="inlineStr">
        <is>
          <t>Personal Care</t>
        </is>
      </c>
      <c r="F193" s="11" t="n">
        <v>271.33</v>
      </c>
      <c r="G193" s="11" t="n">
        <v>127.8</v>
      </c>
      <c r="H193" s="11" t="n">
        <v>20</v>
      </c>
      <c r="I193" s="11" t="n">
        <v>38.55</v>
      </c>
      <c r="J193" t="inlineStr">
        <is>
          <t>Delivered</t>
        </is>
      </c>
      <c r="K193" t="inlineStr">
        <is>
          <t>Mobile Money</t>
        </is>
      </c>
      <c r="L193" t="n">
        <v>2</v>
      </c>
      <c r="M193" s="11" t="n">
        <v>0</v>
      </c>
      <c r="N193" t="inlineStr">
        <is>
          <t>Repeat</t>
        </is>
      </c>
      <c r="O193" t="inlineStr">
        <is>
          <t>2026-05</t>
        </is>
      </c>
      <c r="P193" s="11" t="n">
        <v>271.33</v>
      </c>
      <c r="Q193" s="11" t="n">
        <v>143.53</v>
      </c>
      <c r="R193" s="11" t="n">
        <v>-18.55</v>
      </c>
      <c r="S193" s="11" t="n">
        <v>124.98</v>
      </c>
    </row>
    <row r="194">
      <c r="A194" t="inlineStr">
        <is>
          <t>ORD-1205</t>
        </is>
      </c>
      <c r="B194" s="10" t="n">
        <v>46169</v>
      </c>
      <c r="C194" t="inlineStr">
        <is>
          <t>CUST-069</t>
        </is>
      </c>
      <c r="D194" t="inlineStr">
        <is>
          <t>Ashanti</t>
        </is>
      </c>
      <c r="E194" t="inlineStr">
        <is>
          <t>Electronics Accessories</t>
        </is>
      </c>
      <c r="F194" s="11" t="n">
        <v>349.06</v>
      </c>
      <c r="G194" s="11" t="n">
        <v>214.2</v>
      </c>
      <c r="H194" s="11" t="n">
        <v>10</v>
      </c>
      <c r="I194" s="11" t="n">
        <v>21.8</v>
      </c>
      <c r="J194" t="inlineStr">
        <is>
          <t>Delivered</t>
        </is>
      </c>
      <c r="K194" t="inlineStr">
        <is>
          <t>Cash on Delivery</t>
        </is>
      </c>
      <c r="L194" t="n">
        <v>3</v>
      </c>
      <c r="M194" s="11" t="n">
        <v>0</v>
      </c>
      <c r="N194" t="inlineStr">
        <is>
          <t>Repeat</t>
        </is>
      </c>
      <c r="O194" t="inlineStr">
        <is>
          <t>2026-05</t>
        </is>
      </c>
      <c r="P194" s="11" t="n">
        <v>349.06</v>
      </c>
      <c r="Q194" s="11" t="n">
        <v>134.86</v>
      </c>
      <c r="R194" s="11" t="n">
        <v>-11.8</v>
      </c>
      <c r="S194" s="11" t="n">
        <v>123.06</v>
      </c>
    </row>
    <row r="195">
      <c r="A195" t="inlineStr">
        <is>
          <t>ORD-1036</t>
        </is>
      </c>
      <c r="B195" s="10" t="n">
        <v>46170</v>
      </c>
      <c r="C195" t="inlineStr">
        <is>
          <t>CUST-049</t>
        </is>
      </c>
      <c r="D195" t="inlineStr">
        <is>
          <t>Northern</t>
        </is>
      </c>
      <c r="E195" t="inlineStr">
        <is>
          <t>Home &amp; Kitchen</t>
        </is>
      </c>
      <c r="F195" s="11" t="n">
        <v>615.64</v>
      </c>
      <c r="G195" s="11" t="n">
        <v>303.97</v>
      </c>
      <c r="H195" s="11" t="n">
        <v>25</v>
      </c>
      <c r="I195" s="11" t="n">
        <v>45.53</v>
      </c>
      <c r="J195" t="inlineStr">
        <is>
          <t>Failed</t>
        </is>
      </c>
      <c r="K195" t="inlineStr">
        <is>
          <t>Mobile Money</t>
        </is>
      </c>
      <c r="L195" t="n">
        <v>5</v>
      </c>
      <c r="M195" s="11" t="n">
        <v>16.3</v>
      </c>
      <c r="N195" t="inlineStr">
        <is>
          <t>Repeat</t>
        </is>
      </c>
      <c r="O195" t="inlineStr">
        <is>
          <t>2026-05</t>
        </is>
      </c>
      <c r="P195" s="11" t="n">
        <v>0</v>
      </c>
      <c r="Q195" s="11" t="n">
        <v>0</v>
      </c>
      <c r="R195" s="11" t="n">
        <v>-20.53</v>
      </c>
      <c r="S195" s="11" t="n">
        <v>-36.83</v>
      </c>
    </row>
    <row r="196">
      <c r="A196" t="inlineStr">
        <is>
          <t>ORD-1174</t>
        </is>
      </c>
      <c r="B196" s="10" t="n">
        <v>46170</v>
      </c>
      <c r="C196" t="inlineStr">
        <is>
          <t>CUST-041</t>
        </is>
      </c>
      <c r="D196" t="inlineStr">
        <is>
          <t>Central</t>
        </is>
      </c>
      <c r="E196" t="inlineStr">
        <is>
          <t>Electronics Accessories</t>
        </is>
      </c>
      <c r="F196" s="11" t="n">
        <v>210.66</v>
      </c>
      <c r="G196" s="11" t="n">
        <v>147.31</v>
      </c>
      <c r="H196" s="11" t="n">
        <v>25</v>
      </c>
      <c r="I196" s="11" t="n">
        <v>36.99</v>
      </c>
      <c r="J196" t="inlineStr">
        <is>
          <t>Delivered</t>
        </is>
      </c>
      <c r="K196" t="inlineStr">
        <is>
          <t>Mobile Money</t>
        </is>
      </c>
      <c r="L196" t="n">
        <v>1</v>
      </c>
      <c r="M196" s="11" t="n">
        <v>0</v>
      </c>
      <c r="N196" t="inlineStr">
        <is>
          <t>Repeat</t>
        </is>
      </c>
      <c r="O196" t="inlineStr">
        <is>
          <t>2026-05</t>
        </is>
      </c>
      <c r="P196" s="11" t="n">
        <v>210.66</v>
      </c>
      <c r="Q196" s="11" t="n">
        <v>63.34999999999999</v>
      </c>
      <c r="R196" s="11" t="n">
        <v>-11.99</v>
      </c>
      <c r="S196" s="11" t="n">
        <v>51.36</v>
      </c>
    </row>
    <row r="197">
      <c r="A197" t="inlineStr">
        <is>
          <t>ORD-1149</t>
        </is>
      </c>
      <c r="B197" s="10" t="n">
        <v>46171</v>
      </c>
      <c r="C197" t="inlineStr">
        <is>
          <t>CUST-043</t>
        </is>
      </c>
      <c r="D197" t="inlineStr">
        <is>
          <t>Greater Accra</t>
        </is>
      </c>
      <c r="E197" t="inlineStr">
        <is>
          <t>Electronics Accessories</t>
        </is>
      </c>
      <c r="F197" s="11" t="n">
        <v>368.89</v>
      </c>
      <c r="G197" s="11" t="n">
        <v>214.3</v>
      </c>
      <c r="H197" s="11" t="n">
        <v>15</v>
      </c>
      <c r="I197" s="11" t="n">
        <v>25.3</v>
      </c>
      <c r="J197" t="inlineStr">
        <is>
          <t>Delivered</t>
        </is>
      </c>
      <c r="K197" t="inlineStr">
        <is>
          <t>Bank Transfer</t>
        </is>
      </c>
      <c r="L197" t="n">
        <v>1</v>
      </c>
      <c r="M197" s="11" t="n">
        <v>0</v>
      </c>
      <c r="N197" t="inlineStr">
        <is>
          <t>Repeat</t>
        </is>
      </c>
      <c r="O197" t="inlineStr">
        <is>
          <t>2026-05</t>
        </is>
      </c>
      <c r="P197" s="11" t="n">
        <v>368.89</v>
      </c>
      <c r="Q197" s="11" t="n">
        <v>154.59</v>
      </c>
      <c r="R197" s="11" t="n">
        <v>-10.3</v>
      </c>
      <c r="S197" s="11" t="n">
        <v>144.29</v>
      </c>
    </row>
    <row r="198">
      <c r="A198" t="inlineStr">
        <is>
          <t>ORD-1183</t>
        </is>
      </c>
      <c r="B198" s="10" t="n">
        <v>46171</v>
      </c>
      <c r="C198" t="inlineStr">
        <is>
          <t>CUST-074</t>
        </is>
      </c>
      <c r="D198" t="inlineStr">
        <is>
          <t>Ashanti</t>
        </is>
      </c>
      <c r="E198" t="inlineStr">
        <is>
          <t>Electronics Accessories</t>
        </is>
      </c>
      <c r="F198" s="11" t="n">
        <v>122.11</v>
      </c>
      <c r="G198" s="11" t="n">
        <v>74.06</v>
      </c>
      <c r="H198" s="11" t="n">
        <v>30</v>
      </c>
      <c r="I198" s="11" t="n">
        <v>41.29</v>
      </c>
      <c r="J198" t="inlineStr">
        <is>
          <t>Delivered</t>
        </is>
      </c>
      <c r="K198" t="inlineStr">
        <is>
          <t>Card</t>
        </is>
      </c>
      <c r="L198" t="n">
        <v>2</v>
      </c>
      <c r="M198" s="11" t="n">
        <v>0</v>
      </c>
      <c r="N198" t="inlineStr">
        <is>
          <t>Repeat</t>
        </is>
      </c>
      <c r="O198" t="inlineStr">
        <is>
          <t>2026-05</t>
        </is>
      </c>
      <c r="P198" s="11" t="n">
        <v>122.11</v>
      </c>
      <c r="Q198" s="11" t="n">
        <v>48.05</v>
      </c>
      <c r="R198" s="11" t="n">
        <v>-11.29</v>
      </c>
      <c r="S198" s="11" t="n">
        <v>36.76</v>
      </c>
    </row>
    <row r="199">
      <c r="A199" t="inlineStr">
        <is>
          <t>ORD-1092</t>
        </is>
      </c>
      <c r="B199" s="10" t="n">
        <v>46172</v>
      </c>
      <c r="C199" t="inlineStr">
        <is>
          <t>CUST-049</t>
        </is>
      </c>
      <c r="D199" t="inlineStr">
        <is>
          <t>Northern</t>
        </is>
      </c>
      <c r="E199" t="inlineStr">
        <is>
          <t>Stationery</t>
        </is>
      </c>
      <c r="F199" s="11" t="n">
        <v>170.15</v>
      </c>
      <c r="G199" s="11" t="n">
        <v>62.87</v>
      </c>
      <c r="H199" s="11" t="n">
        <v>15</v>
      </c>
      <c r="I199" s="11" t="n">
        <v>31.71</v>
      </c>
      <c r="J199" t="inlineStr">
        <is>
          <t>Delivered</t>
        </is>
      </c>
      <c r="K199" t="inlineStr">
        <is>
          <t>Bank Transfer</t>
        </is>
      </c>
      <c r="L199" t="n">
        <v>6</v>
      </c>
      <c r="M199" s="11" t="n">
        <v>0</v>
      </c>
      <c r="N199" t="inlineStr">
        <is>
          <t>Repeat</t>
        </is>
      </c>
      <c r="O199" t="inlineStr">
        <is>
          <t>2026-05</t>
        </is>
      </c>
      <c r="P199" s="11" t="n">
        <v>170.15</v>
      </c>
      <c r="Q199" s="11" t="n">
        <v>107.28</v>
      </c>
      <c r="R199" s="11" t="n">
        <v>-16.71</v>
      </c>
      <c r="S199" s="11" t="n">
        <v>90.56999999999999</v>
      </c>
    </row>
    <row r="200">
      <c r="A200" t="inlineStr">
        <is>
          <t>ORD-1225</t>
        </is>
      </c>
      <c r="B200" s="10" t="n">
        <v>46172</v>
      </c>
      <c r="C200" t="inlineStr">
        <is>
          <t>CUST-075</t>
        </is>
      </c>
      <c r="D200" t="inlineStr">
        <is>
          <t>Central</t>
        </is>
      </c>
      <c r="E200" t="inlineStr">
        <is>
          <t>Stationery</t>
        </is>
      </c>
      <c r="F200" s="11" t="n">
        <v>63.71</v>
      </c>
      <c r="G200" s="11" t="n">
        <v>24.55</v>
      </c>
      <c r="H200" s="11" t="n">
        <v>15</v>
      </c>
      <c r="I200" s="11" t="n">
        <v>25.8</v>
      </c>
      <c r="J200" t="inlineStr">
        <is>
          <t>Delivered</t>
        </is>
      </c>
      <c r="K200" t="inlineStr">
        <is>
          <t>Cash on Delivery</t>
        </is>
      </c>
      <c r="L200" t="n">
        <v>3</v>
      </c>
      <c r="M200" s="11" t="n">
        <v>0</v>
      </c>
      <c r="N200" t="inlineStr">
        <is>
          <t>Repeat</t>
        </is>
      </c>
      <c r="O200" t="inlineStr">
        <is>
          <t>2026-05</t>
        </is>
      </c>
      <c r="P200" s="11" t="n">
        <v>63.71</v>
      </c>
      <c r="Q200" s="11" t="n">
        <v>39.16</v>
      </c>
      <c r="R200" s="11" t="n">
        <v>-10.8</v>
      </c>
      <c r="S200" s="11" t="n">
        <v>28.36</v>
      </c>
    </row>
    <row r="201">
      <c r="A201" t="inlineStr">
        <is>
          <t>ORD-1099</t>
        </is>
      </c>
      <c r="B201" s="10" t="n">
        <v>46173</v>
      </c>
      <c r="C201" t="inlineStr">
        <is>
          <t>CUST-028</t>
        </is>
      </c>
      <c r="D201" t="inlineStr">
        <is>
          <t>Greater Accra</t>
        </is>
      </c>
      <c r="E201" t="inlineStr">
        <is>
          <t>Stationery</t>
        </is>
      </c>
      <c r="F201" s="11" t="n">
        <v>53.44</v>
      </c>
      <c r="G201" s="11" t="n">
        <v>26.15</v>
      </c>
      <c r="H201" s="11" t="n">
        <v>30</v>
      </c>
      <c r="I201" s="11" t="n">
        <v>32.03</v>
      </c>
      <c r="J201" t="inlineStr">
        <is>
          <t>Delivered</t>
        </is>
      </c>
      <c r="K201" t="inlineStr">
        <is>
          <t>Mobile Money</t>
        </is>
      </c>
      <c r="L201" t="n">
        <v>1</v>
      </c>
      <c r="M201" s="11" t="n">
        <v>0</v>
      </c>
      <c r="N201" t="inlineStr">
        <is>
          <t>One-time</t>
        </is>
      </c>
      <c r="O201" t="inlineStr">
        <is>
          <t>2026-05</t>
        </is>
      </c>
      <c r="P201" s="11" t="n">
        <v>53.44</v>
      </c>
      <c r="Q201" s="11" t="n">
        <v>27.29</v>
      </c>
      <c r="R201" s="11" t="n">
        <v>-2.03</v>
      </c>
      <c r="S201" s="11" t="n">
        <v>25.26</v>
      </c>
    </row>
    <row r="202">
      <c r="A202" t="inlineStr">
        <is>
          <t>ORD-1101</t>
        </is>
      </c>
      <c r="B202" s="10" t="n">
        <v>46173</v>
      </c>
      <c r="C202" t="inlineStr">
        <is>
          <t>CUST-042</t>
        </is>
      </c>
      <c r="D202" t="inlineStr">
        <is>
          <t>Greater Accra</t>
        </is>
      </c>
      <c r="E202" t="inlineStr">
        <is>
          <t>Electronics Accessories</t>
        </is>
      </c>
      <c r="F202" s="11" t="n">
        <v>297.6</v>
      </c>
      <c r="G202" s="11" t="n">
        <v>161.54</v>
      </c>
      <c r="H202" s="11" t="n">
        <v>25</v>
      </c>
      <c r="I202" s="11" t="n">
        <v>32.26</v>
      </c>
      <c r="J202" t="inlineStr">
        <is>
          <t>Delivered</t>
        </is>
      </c>
      <c r="K202" t="inlineStr">
        <is>
          <t>Mobile Money</t>
        </is>
      </c>
      <c r="L202" t="n">
        <v>2</v>
      </c>
      <c r="M202" s="11" t="n">
        <v>0</v>
      </c>
      <c r="N202" t="inlineStr">
        <is>
          <t>Repeat</t>
        </is>
      </c>
      <c r="O202" t="inlineStr">
        <is>
          <t>2026-05</t>
        </is>
      </c>
      <c r="P202" s="11" t="n">
        <v>297.6</v>
      </c>
      <c r="Q202" s="11" t="n">
        <v>136.06</v>
      </c>
      <c r="R202" s="11" t="n">
        <v>-7.26</v>
      </c>
      <c r="S202" s="11" t="n">
        <v>128.8</v>
      </c>
    </row>
    <row r="203">
      <c r="A203" t="inlineStr">
        <is>
          <t>ORD-1038</t>
        </is>
      </c>
      <c r="B203" s="10" t="n">
        <v>46174</v>
      </c>
      <c r="C203" t="inlineStr">
        <is>
          <t>CUST-073</t>
        </is>
      </c>
      <c r="D203" t="inlineStr">
        <is>
          <t>Eastern</t>
        </is>
      </c>
      <c r="E203" t="inlineStr">
        <is>
          <t>Personal Care</t>
        </is>
      </c>
      <c r="F203" s="11" t="n">
        <v>48.09</v>
      </c>
      <c r="G203" s="11" t="n">
        <v>22.95</v>
      </c>
      <c r="H203" s="11" t="n">
        <v>25</v>
      </c>
      <c r="I203" s="11" t="n">
        <v>32.82</v>
      </c>
      <c r="J203" t="inlineStr">
        <is>
          <t>Delivered</t>
        </is>
      </c>
      <c r="K203" t="inlineStr">
        <is>
          <t>Mobile Money</t>
        </is>
      </c>
      <c r="L203" t="n">
        <v>2</v>
      </c>
      <c r="M203" s="11" t="n">
        <v>0</v>
      </c>
      <c r="N203" t="inlineStr">
        <is>
          <t>Repeat</t>
        </is>
      </c>
      <c r="O203" t="inlineStr">
        <is>
          <t>2026-06</t>
        </is>
      </c>
      <c r="P203" s="11" t="n">
        <v>48.09</v>
      </c>
      <c r="Q203" s="11" t="n">
        <v>25.14</v>
      </c>
      <c r="R203" s="11" t="n">
        <v>-7.82</v>
      </c>
      <c r="S203" s="11" t="n">
        <v>17.32</v>
      </c>
    </row>
    <row r="204">
      <c r="A204" t="inlineStr">
        <is>
          <t>ORD-1047</t>
        </is>
      </c>
      <c r="B204" s="10" t="n">
        <v>46174</v>
      </c>
      <c r="C204" t="inlineStr">
        <is>
          <t>CUST-035</t>
        </is>
      </c>
      <c r="D204" t="inlineStr">
        <is>
          <t>Ashanti</t>
        </is>
      </c>
      <c r="E204" t="inlineStr">
        <is>
          <t>Home &amp; Kitchen</t>
        </is>
      </c>
      <c r="F204" s="11" t="n">
        <v>197.3</v>
      </c>
      <c r="G204" s="11" t="n">
        <v>120</v>
      </c>
      <c r="H204" s="11" t="n">
        <v>20</v>
      </c>
      <c r="I204" s="11" t="n">
        <v>33.82</v>
      </c>
      <c r="J204" t="inlineStr">
        <is>
          <t>Delivered</t>
        </is>
      </c>
      <c r="K204" t="inlineStr">
        <is>
          <t>Mobile Money</t>
        </is>
      </c>
      <c r="L204" t="n">
        <v>3</v>
      </c>
      <c r="M204" s="11" t="n">
        <v>0</v>
      </c>
      <c r="N204" t="inlineStr">
        <is>
          <t>Repeat</t>
        </is>
      </c>
      <c r="O204" t="inlineStr">
        <is>
          <t>2026-06</t>
        </is>
      </c>
      <c r="P204" s="11" t="n">
        <v>197.3</v>
      </c>
      <c r="Q204" s="11" t="n">
        <v>77.30000000000001</v>
      </c>
      <c r="R204" s="11" t="n">
        <v>-13.82</v>
      </c>
      <c r="S204" s="11" t="n">
        <v>63.48</v>
      </c>
    </row>
    <row r="205">
      <c r="A205" t="inlineStr">
        <is>
          <t>ORD-1116</t>
        </is>
      </c>
      <c r="B205" s="10" t="n">
        <v>46174</v>
      </c>
      <c r="C205" t="inlineStr">
        <is>
          <t>CUST-063</t>
        </is>
      </c>
      <c r="D205" t="inlineStr">
        <is>
          <t>Northern</t>
        </is>
      </c>
      <c r="E205" t="inlineStr">
        <is>
          <t>Personal Care</t>
        </is>
      </c>
      <c r="F205" s="11" t="n">
        <v>109.82</v>
      </c>
      <c r="G205" s="11" t="n">
        <v>48.29</v>
      </c>
      <c r="H205" s="11" t="n">
        <v>30</v>
      </c>
      <c r="I205" s="11" t="n">
        <v>42.55</v>
      </c>
      <c r="J205" t="inlineStr">
        <is>
          <t>Delivered</t>
        </is>
      </c>
      <c r="K205" t="inlineStr">
        <is>
          <t>Bank Transfer</t>
        </is>
      </c>
      <c r="L205" t="n">
        <v>4</v>
      </c>
      <c r="M205" s="11" t="n">
        <v>0</v>
      </c>
      <c r="N205" t="inlineStr">
        <is>
          <t>Repeat</t>
        </is>
      </c>
      <c r="O205" t="inlineStr">
        <is>
          <t>2026-06</t>
        </is>
      </c>
      <c r="P205" s="11" t="n">
        <v>109.82</v>
      </c>
      <c r="Q205" s="11" t="n">
        <v>61.52999999999999</v>
      </c>
      <c r="R205" s="11" t="n">
        <v>-12.55</v>
      </c>
      <c r="S205" s="11" t="n">
        <v>48.98</v>
      </c>
    </row>
    <row r="206">
      <c r="A206" t="inlineStr">
        <is>
          <t>ORD-1216</t>
        </is>
      </c>
      <c r="B206" s="10" t="n">
        <v>46174</v>
      </c>
      <c r="C206" t="inlineStr">
        <is>
          <t>CUST-023</t>
        </is>
      </c>
      <c r="D206" t="inlineStr">
        <is>
          <t>Ashanti</t>
        </is>
      </c>
      <c r="E206" t="inlineStr">
        <is>
          <t>Personal Care</t>
        </is>
      </c>
      <c r="F206" s="11" t="n">
        <v>142.48</v>
      </c>
      <c r="G206" s="11" t="n">
        <v>69.7</v>
      </c>
      <c r="H206" s="11" t="n">
        <v>20</v>
      </c>
      <c r="I206" s="11" t="n">
        <v>34.42</v>
      </c>
      <c r="J206" t="inlineStr">
        <is>
          <t>Delivered</t>
        </is>
      </c>
      <c r="K206" t="inlineStr">
        <is>
          <t>Card</t>
        </is>
      </c>
      <c r="L206" t="n">
        <v>3</v>
      </c>
      <c r="M206" s="11" t="n">
        <v>0</v>
      </c>
      <c r="N206" t="inlineStr">
        <is>
          <t>Repeat</t>
        </is>
      </c>
      <c r="O206" t="inlineStr">
        <is>
          <t>2026-06</t>
        </is>
      </c>
      <c r="P206" s="11" t="n">
        <v>142.48</v>
      </c>
      <c r="Q206" s="11" t="n">
        <v>72.77999999999999</v>
      </c>
      <c r="R206" s="11" t="n">
        <v>-14.42</v>
      </c>
      <c r="S206" s="11" t="n">
        <v>58.36</v>
      </c>
    </row>
    <row r="207">
      <c r="A207" t="inlineStr">
        <is>
          <t>ORD-1098</t>
        </is>
      </c>
      <c r="B207" s="10" t="n">
        <v>46175</v>
      </c>
      <c r="C207" t="inlineStr">
        <is>
          <t>CUST-003</t>
        </is>
      </c>
      <c r="D207" t="inlineStr">
        <is>
          <t>Greater Accra</t>
        </is>
      </c>
      <c r="E207" t="inlineStr">
        <is>
          <t>Electronics Accessories</t>
        </is>
      </c>
      <c r="F207" s="11" t="n">
        <v>353.48</v>
      </c>
      <c r="G207" s="11" t="n">
        <v>246.72</v>
      </c>
      <c r="H207" s="11" t="n">
        <v>30</v>
      </c>
      <c r="I207" s="11" t="n">
        <v>34.05</v>
      </c>
      <c r="J207" t="inlineStr">
        <is>
          <t>Delivered</t>
        </is>
      </c>
      <c r="K207" t="inlineStr">
        <is>
          <t>Cash on Delivery</t>
        </is>
      </c>
      <c r="L207" t="n">
        <v>2</v>
      </c>
      <c r="M207" s="11" t="n">
        <v>0</v>
      </c>
      <c r="N207" t="inlineStr">
        <is>
          <t>Repeat</t>
        </is>
      </c>
      <c r="O207" t="inlineStr">
        <is>
          <t>2026-06</t>
        </is>
      </c>
      <c r="P207" s="11" t="n">
        <v>353.48</v>
      </c>
      <c r="Q207" s="11" t="n">
        <v>106.76</v>
      </c>
      <c r="R207" s="11" t="n">
        <v>-4.05</v>
      </c>
      <c r="S207" s="11" t="n">
        <v>102.71</v>
      </c>
    </row>
    <row r="208">
      <c r="A208" t="inlineStr">
        <is>
          <t>ORD-1114</t>
        </is>
      </c>
      <c r="B208" s="10" t="n">
        <v>46175</v>
      </c>
      <c r="C208" t="inlineStr">
        <is>
          <t>CUST-011</t>
        </is>
      </c>
      <c r="D208" t="inlineStr">
        <is>
          <t>Greater Accra</t>
        </is>
      </c>
      <c r="E208" t="inlineStr">
        <is>
          <t>Small Appliances</t>
        </is>
      </c>
      <c r="F208" s="11" t="n">
        <v>360.03</v>
      </c>
      <c r="G208" s="11" t="n">
        <v>264.91</v>
      </c>
      <c r="H208" s="11" t="n">
        <v>10</v>
      </c>
      <c r="I208" s="11" t="n">
        <v>18.74</v>
      </c>
      <c r="J208" t="inlineStr">
        <is>
          <t>Delivered</t>
        </is>
      </c>
      <c r="K208" t="inlineStr">
        <is>
          <t>Cash on Delivery</t>
        </is>
      </c>
      <c r="L208" t="n">
        <v>3</v>
      </c>
      <c r="M208" s="11" t="n">
        <v>0</v>
      </c>
      <c r="N208" t="inlineStr">
        <is>
          <t>Repeat</t>
        </is>
      </c>
      <c r="O208" t="inlineStr">
        <is>
          <t>2026-06</t>
        </is>
      </c>
      <c r="P208" s="11" t="n">
        <v>360.03</v>
      </c>
      <c r="Q208" s="11" t="n">
        <v>95.11999999999995</v>
      </c>
      <c r="R208" s="11" t="n">
        <v>-8.74</v>
      </c>
      <c r="S208" s="11" t="n">
        <v>86.38</v>
      </c>
    </row>
    <row r="209">
      <c r="A209" t="inlineStr">
        <is>
          <t>ORD-1044</t>
        </is>
      </c>
      <c r="B209" s="10" t="n">
        <v>46176</v>
      </c>
      <c r="C209" t="inlineStr">
        <is>
          <t>CUST-016</t>
        </is>
      </c>
      <c r="D209" t="inlineStr">
        <is>
          <t>Northern</t>
        </is>
      </c>
      <c r="E209" t="inlineStr">
        <is>
          <t>Stationery</t>
        </is>
      </c>
      <c r="F209" s="11" t="n">
        <v>108.38</v>
      </c>
      <c r="G209" s="11" t="n">
        <v>38.73</v>
      </c>
      <c r="H209" s="11" t="n">
        <v>30</v>
      </c>
      <c r="I209" s="11" t="n">
        <v>46.28</v>
      </c>
      <c r="J209" t="inlineStr">
        <is>
          <t>Delivered</t>
        </is>
      </c>
      <c r="K209" t="inlineStr">
        <is>
          <t>Cash on Delivery</t>
        </is>
      </c>
      <c r="L209" t="n">
        <v>3</v>
      </c>
      <c r="M209" s="11" t="n">
        <v>0</v>
      </c>
      <c r="N209" t="inlineStr">
        <is>
          <t>Repeat</t>
        </is>
      </c>
      <c r="O209" t="inlineStr">
        <is>
          <t>2026-06</t>
        </is>
      </c>
      <c r="P209" s="11" t="n">
        <v>108.38</v>
      </c>
      <c r="Q209" s="11" t="n">
        <v>69.65000000000001</v>
      </c>
      <c r="R209" s="11" t="n">
        <v>-16.28</v>
      </c>
      <c r="S209" s="11" t="n">
        <v>53.37</v>
      </c>
    </row>
    <row r="210">
      <c r="A210" t="inlineStr">
        <is>
          <t>ORD-1072</t>
        </is>
      </c>
      <c r="B210" s="10" t="n">
        <v>46176</v>
      </c>
      <c r="C210" t="inlineStr">
        <is>
          <t>CUST-066</t>
        </is>
      </c>
      <c r="D210" t="inlineStr">
        <is>
          <t>Central</t>
        </is>
      </c>
      <c r="E210" t="inlineStr">
        <is>
          <t>Stationery</t>
        </is>
      </c>
      <c r="F210" s="11" t="n">
        <v>37.52</v>
      </c>
      <c r="G210" s="11" t="n">
        <v>13.6</v>
      </c>
      <c r="H210" s="11" t="n">
        <v>25</v>
      </c>
      <c r="I210" s="11" t="n">
        <v>35.4</v>
      </c>
      <c r="J210" t="inlineStr">
        <is>
          <t>Delivered</t>
        </is>
      </c>
      <c r="K210" t="inlineStr">
        <is>
          <t>Mobile Money</t>
        </is>
      </c>
      <c r="L210" t="n">
        <v>2</v>
      </c>
      <c r="M210" s="11" t="n">
        <v>0</v>
      </c>
      <c r="N210" t="inlineStr">
        <is>
          <t>Repeat</t>
        </is>
      </c>
      <c r="O210" t="inlineStr">
        <is>
          <t>2026-06</t>
        </is>
      </c>
      <c r="P210" s="11" t="n">
        <v>37.52</v>
      </c>
      <c r="Q210" s="11" t="n">
        <v>23.92</v>
      </c>
      <c r="R210" s="11" t="n">
        <v>-10.4</v>
      </c>
      <c r="S210" s="11" t="n">
        <v>13.52</v>
      </c>
    </row>
    <row r="211">
      <c r="A211" t="inlineStr">
        <is>
          <t>ORD-1131</t>
        </is>
      </c>
      <c r="B211" s="10" t="n">
        <v>46177</v>
      </c>
      <c r="C211" t="inlineStr">
        <is>
          <t>CUST-020</t>
        </is>
      </c>
      <c r="D211" t="inlineStr">
        <is>
          <t>Greater Accra</t>
        </is>
      </c>
      <c r="E211" t="inlineStr">
        <is>
          <t>Home &amp; Kitchen</t>
        </is>
      </c>
      <c r="F211" s="11" t="n">
        <v>399.64</v>
      </c>
      <c r="G211" s="11" t="n">
        <v>186.02</v>
      </c>
      <c r="H211" s="11" t="n">
        <v>20</v>
      </c>
      <c r="I211" s="11" t="n">
        <v>25.1</v>
      </c>
      <c r="J211" t="inlineStr">
        <is>
          <t>Delivered</t>
        </is>
      </c>
      <c r="K211" t="inlineStr">
        <is>
          <t>Cash on Delivery</t>
        </is>
      </c>
      <c r="L211" t="n">
        <v>2</v>
      </c>
      <c r="M211" s="11" t="n">
        <v>0</v>
      </c>
      <c r="N211" t="inlineStr">
        <is>
          <t>One-time</t>
        </is>
      </c>
      <c r="O211" t="inlineStr">
        <is>
          <t>2026-06</t>
        </is>
      </c>
      <c r="P211" s="11" t="n">
        <v>399.64</v>
      </c>
      <c r="Q211" s="11" t="n">
        <v>213.62</v>
      </c>
      <c r="R211" s="11" t="n">
        <v>-5.1</v>
      </c>
      <c r="S211" s="11" t="n">
        <v>208.52</v>
      </c>
    </row>
    <row r="212">
      <c r="A212" t="inlineStr">
        <is>
          <t>ORD-1139</t>
        </is>
      </c>
      <c r="B212" s="10" t="n">
        <v>46177</v>
      </c>
      <c r="C212" t="inlineStr">
        <is>
          <t>CUST-018</t>
        </is>
      </c>
      <c r="D212" t="inlineStr">
        <is>
          <t>Northern</t>
        </is>
      </c>
      <c r="E212" t="inlineStr">
        <is>
          <t>Small Appliances</t>
        </is>
      </c>
      <c r="F212" s="11" t="n">
        <v>220.44</v>
      </c>
      <c r="G212" s="11" t="n">
        <v>151.33</v>
      </c>
      <c r="H212" s="11" t="n">
        <v>20</v>
      </c>
      <c r="I212" s="11" t="n">
        <v>37.55</v>
      </c>
      <c r="J212" t="inlineStr">
        <is>
          <t>Delivered</t>
        </is>
      </c>
      <c r="K212" t="inlineStr">
        <is>
          <t>Card</t>
        </is>
      </c>
      <c r="L212" t="n">
        <v>4</v>
      </c>
      <c r="M212" s="11" t="n">
        <v>0</v>
      </c>
      <c r="N212" t="inlineStr">
        <is>
          <t>Repeat</t>
        </is>
      </c>
      <c r="O212" t="inlineStr">
        <is>
          <t>2026-06</t>
        </is>
      </c>
      <c r="P212" s="11" t="n">
        <v>220.44</v>
      </c>
      <c r="Q212" s="11" t="n">
        <v>69.10999999999999</v>
      </c>
      <c r="R212" s="11" t="n">
        <v>-17.55</v>
      </c>
      <c r="S212" s="11" t="n">
        <v>51.56</v>
      </c>
    </row>
    <row r="213">
      <c r="A213" t="inlineStr">
        <is>
          <t>ORD-1042</t>
        </is>
      </c>
      <c r="B213" s="10" t="n">
        <v>46178</v>
      </c>
      <c r="C213" t="inlineStr">
        <is>
          <t>CUST-015</t>
        </is>
      </c>
      <c r="D213" t="inlineStr">
        <is>
          <t>Northern</t>
        </is>
      </c>
      <c r="E213" t="inlineStr">
        <is>
          <t>Stationery</t>
        </is>
      </c>
      <c r="F213" s="11" t="n">
        <v>42.02</v>
      </c>
      <c r="G213" s="11" t="n">
        <v>17.06</v>
      </c>
      <c r="H213" s="11" t="n">
        <v>30</v>
      </c>
      <c r="I213" s="11" t="n">
        <v>42.26</v>
      </c>
      <c r="J213" t="inlineStr">
        <is>
          <t>Delivered</t>
        </is>
      </c>
      <c r="K213" t="inlineStr">
        <is>
          <t>Cash on Delivery</t>
        </is>
      </c>
      <c r="L213" t="n">
        <v>6</v>
      </c>
      <c r="M213" s="11" t="n">
        <v>0</v>
      </c>
      <c r="N213" t="inlineStr">
        <is>
          <t>Repeat</t>
        </is>
      </c>
      <c r="O213" t="inlineStr">
        <is>
          <t>2026-06</t>
        </is>
      </c>
      <c r="P213" s="11" t="n">
        <v>42.02</v>
      </c>
      <c r="Q213" s="11" t="n">
        <v>24.96</v>
      </c>
      <c r="R213" s="11" t="n">
        <v>-12.26</v>
      </c>
      <c r="S213" s="11" t="n">
        <v>12.7</v>
      </c>
    </row>
    <row r="214">
      <c r="A214" t="inlineStr">
        <is>
          <t>ORD-1048</t>
        </is>
      </c>
      <c r="B214" s="10" t="n">
        <v>46179</v>
      </c>
      <c r="C214" t="inlineStr">
        <is>
          <t>CUST-086</t>
        </is>
      </c>
      <c r="D214" t="inlineStr">
        <is>
          <t>Greater Accra</t>
        </is>
      </c>
      <c r="E214" t="inlineStr">
        <is>
          <t>Home &amp; Kitchen</t>
        </is>
      </c>
      <c r="F214" s="11" t="n">
        <v>67.22</v>
      </c>
      <c r="G214" s="11" t="n">
        <v>39.87</v>
      </c>
      <c r="H214" s="11" t="n">
        <v>15</v>
      </c>
      <c r="I214" s="11" t="n">
        <v>21.88</v>
      </c>
      <c r="J214" t="inlineStr">
        <is>
          <t>Delivered</t>
        </is>
      </c>
      <c r="K214" t="inlineStr">
        <is>
          <t>Mobile Money</t>
        </is>
      </c>
      <c r="L214" t="n">
        <v>1</v>
      </c>
      <c r="M214" s="11" t="n">
        <v>0</v>
      </c>
      <c r="N214" t="inlineStr">
        <is>
          <t>Repeat</t>
        </is>
      </c>
      <c r="O214" t="inlineStr">
        <is>
          <t>2026-06</t>
        </is>
      </c>
      <c r="P214" s="11" t="n">
        <v>67.22</v>
      </c>
      <c r="Q214" s="11" t="n">
        <v>27.35</v>
      </c>
      <c r="R214" s="11" t="n">
        <v>-6.88</v>
      </c>
      <c r="S214" s="11" t="n">
        <v>20.47</v>
      </c>
    </row>
    <row r="215">
      <c r="A215" t="inlineStr">
        <is>
          <t>ORD-1156</t>
        </is>
      </c>
      <c r="B215" s="10" t="n">
        <v>46180</v>
      </c>
      <c r="C215" t="inlineStr">
        <is>
          <t>CUST-056</t>
        </is>
      </c>
      <c r="D215" t="inlineStr">
        <is>
          <t>Northern</t>
        </is>
      </c>
      <c r="E215" t="inlineStr">
        <is>
          <t>Home &amp; Kitchen</t>
        </is>
      </c>
      <c r="F215" s="11" t="n">
        <v>638.02</v>
      </c>
      <c r="G215" s="11" t="n">
        <v>389.59</v>
      </c>
      <c r="H215" s="11" t="n">
        <v>10</v>
      </c>
      <c r="I215" s="11" t="n">
        <v>28.71</v>
      </c>
      <c r="J215" t="inlineStr">
        <is>
          <t>Delivered</t>
        </is>
      </c>
      <c r="K215" t="inlineStr">
        <is>
          <t>Cash on Delivery</t>
        </is>
      </c>
      <c r="L215" t="n">
        <v>5</v>
      </c>
      <c r="M215" s="11" t="n">
        <v>0</v>
      </c>
      <c r="N215" t="inlineStr">
        <is>
          <t>Repeat</t>
        </is>
      </c>
      <c r="O215" t="inlineStr">
        <is>
          <t>2026-06</t>
        </is>
      </c>
      <c r="P215" s="11" t="n">
        <v>638.02</v>
      </c>
      <c r="Q215" s="11" t="n">
        <v>248.43</v>
      </c>
      <c r="R215" s="11" t="n">
        <v>-18.71</v>
      </c>
      <c r="S215" s="11" t="n">
        <v>229.72</v>
      </c>
    </row>
    <row r="216">
      <c r="A216" t="inlineStr">
        <is>
          <t>ORD-1181</t>
        </is>
      </c>
      <c r="B216" s="10" t="n">
        <v>46180</v>
      </c>
      <c r="C216" t="inlineStr">
        <is>
          <t>CUST-039</t>
        </is>
      </c>
      <c r="D216" t="inlineStr">
        <is>
          <t>Eastern</t>
        </is>
      </c>
      <c r="E216" t="inlineStr">
        <is>
          <t>Personal Care</t>
        </is>
      </c>
      <c r="F216" s="11" t="n">
        <v>164.51</v>
      </c>
      <c r="G216" s="11" t="n">
        <v>80.90000000000001</v>
      </c>
      <c r="H216" s="11" t="n">
        <v>25</v>
      </c>
      <c r="I216" s="11" t="n">
        <v>38.09</v>
      </c>
      <c r="J216" t="inlineStr">
        <is>
          <t>Delivered</t>
        </is>
      </c>
      <c r="K216" t="inlineStr">
        <is>
          <t>Card</t>
        </is>
      </c>
      <c r="L216" t="n">
        <v>3</v>
      </c>
      <c r="M216" s="11" t="n">
        <v>0</v>
      </c>
      <c r="N216" t="inlineStr">
        <is>
          <t>Repeat</t>
        </is>
      </c>
      <c r="O216" t="inlineStr">
        <is>
          <t>2026-06</t>
        </is>
      </c>
      <c r="P216" s="11" t="n">
        <v>164.51</v>
      </c>
      <c r="Q216" s="11" t="n">
        <v>83.60999999999999</v>
      </c>
      <c r="R216" s="11" t="n">
        <v>-13.09</v>
      </c>
      <c r="S216" s="11" t="n">
        <v>70.52</v>
      </c>
    </row>
    <row r="217">
      <c r="A217" t="inlineStr">
        <is>
          <t>ORD-1087</t>
        </is>
      </c>
      <c r="B217" s="10" t="n">
        <v>46181</v>
      </c>
      <c r="C217" t="inlineStr">
        <is>
          <t>CUST-033</t>
        </is>
      </c>
      <c r="D217" t="inlineStr">
        <is>
          <t>Northern</t>
        </is>
      </c>
      <c r="E217" t="inlineStr">
        <is>
          <t>Personal Care</t>
        </is>
      </c>
      <c r="F217" s="11" t="n">
        <v>223.26</v>
      </c>
      <c r="G217" s="11" t="n">
        <v>115.79</v>
      </c>
      <c r="H217" s="11" t="n">
        <v>15</v>
      </c>
      <c r="I217" s="11" t="n">
        <v>33.28</v>
      </c>
      <c r="J217" t="inlineStr">
        <is>
          <t>Failed</t>
        </is>
      </c>
      <c r="K217" t="inlineStr">
        <is>
          <t>Cash on Delivery</t>
        </is>
      </c>
      <c r="L217" t="n">
        <v>6</v>
      </c>
      <c r="M217" s="11" t="n">
        <v>21.41</v>
      </c>
      <c r="N217" t="inlineStr">
        <is>
          <t>Repeat</t>
        </is>
      </c>
      <c r="O217" t="inlineStr">
        <is>
          <t>2026-06</t>
        </is>
      </c>
      <c r="P217" s="11" t="n">
        <v>0</v>
      </c>
      <c r="Q217" s="11" t="n">
        <v>0</v>
      </c>
      <c r="R217" s="11" t="n">
        <v>-18.28</v>
      </c>
      <c r="S217" s="11" t="n">
        <v>-39.69</v>
      </c>
    </row>
    <row r="218">
      <c r="A218" t="inlineStr">
        <is>
          <t>ORD-1120</t>
        </is>
      </c>
      <c r="B218" s="10" t="n">
        <v>46181</v>
      </c>
      <c r="C218" t="inlineStr">
        <is>
          <t>CUST-059</t>
        </is>
      </c>
      <c r="D218" t="inlineStr">
        <is>
          <t>Greater Accra</t>
        </is>
      </c>
      <c r="E218" t="inlineStr">
        <is>
          <t>Stationery</t>
        </is>
      </c>
      <c r="F218" s="11" t="n">
        <v>166.76</v>
      </c>
      <c r="G218" s="11" t="n">
        <v>61.01</v>
      </c>
      <c r="H218" s="11" t="n">
        <v>10</v>
      </c>
      <c r="I218" s="11" t="n">
        <v>14.43</v>
      </c>
      <c r="J218" t="inlineStr">
        <is>
          <t>Delivered</t>
        </is>
      </c>
      <c r="K218" t="inlineStr">
        <is>
          <t>Cash on Delivery</t>
        </is>
      </c>
      <c r="L218" t="n">
        <v>2</v>
      </c>
      <c r="M218" s="11" t="n">
        <v>0</v>
      </c>
      <c r="N218" t="inlineStr">
        <is>
          <t>Repeat</t>
        </is>
      </c>
      <c r="O218" t="inlineStr">
        <is>
          <t>2026-06</t>
        </is>
      </c>
      <c r="P218" s="11" t="n">
        <v>166.76</v>
      </c>
      <c r="Q218" s="11" t="n">
        <v>105.75</v>
      </c>
      <c r="R218" s="11" t="n">
        <v>-4.43</v>
      </c>
      <c r="S218" s="11" t="n">
        <v>101.32</v>
      </c>
    </row>
    <row r="219">
      <c r="A219" t="inlineStr">
        <is>
          <t>ORD-1240</t>
        </is>
      </c>
      <c r="B219" s="10" t="n">
        <v>46181</v>
      </c>
      <c r="C219" t="inlineStr">
        <is>
          <t>CUST-038</t>
        </is>
      </c>
      <c r="D219" t="inlineStr">
        <is>
          <t>Northern</t>
        </is>
      </c>
      <c r="E219" t="inlineStr">
        <is>
          <t>Stationery</t>
        </is>
      </c>
      <c r="F219" s="11" t="n">
        <v>132.66</v>
      </c>
      <c r="G219" s="11" t="n">
        <v>48.39</v>
      </c>
      <c r="H219" s="11" t="n">
        <v>15</v>
      </c>
      <c r="I219" s="11" t="n">
        <v>30.8</v>
      </c>
      <c r="J219" t="inlineStr">
        <is>
          <t>Failed</t>
        </is>
      </c>
      <c r="K219" t="inlineStr">
        <is>
          <t>Mobile Money</t>
        </is>
      </c>
      <c r="L219" t="n">
        <v>8</v>
      </c>
      <c r="M219" s="11" t="n">
        <v>13.38</v>
      </c>
      <c r="N219" t="inlineStr">
        <is>
          <t>Repeat</t>
        </is>
      </c>
      <c r="O219" t="inlineStr">
        <is>
          <t>2026-06</t>
        </is>
      </c>
      <c r="P219" s="11" t="n">
        <v>0</v>
      </c>
      <c r="Q219" s="11" t="n">
        <v>0</v>
      </c>
      <c r="R219" s="11" t="n">
        <v>-15.8</v>
      </c>
      <c r="S219" s="11" t="n">
        <v>-29.18</v>
      </c>
    </row>
    <row r="220">
      <c r="A220" t="inlineStr">
        <is>
          <t>ORD-1136</t>
        </is>
      </c>
      <c r="B220" s="10" t="n">
        <v>46182</v>
      </c>
      <c r="C220" t="inlineStr">
        <is>
          <t>CUST-022</t>
        </is>
      </c>
      <c r="D220" t="inlineStr">
        <is>
          <t>Central</t>
        </is>
      </c>
      <c r="E220" t="inlineStr">
        <is>
          <t>Stationery</t>
        </is>
      </c>
      <c r="F220" s="11" t="n">
        <v>22.21</v>
      </c>
      <c r="G220" s="11" t="n">
        <v>9.23</v>
      </c>
      <c r="H220" s="11" t="n">
        <v>15</v>
      </c>
      <c r="I220" s="11" t="n">
        <v>31.7</v>
      </c>
      <c r="J220" t="inlineStr">
        <is>
          <t>Delivered</t>
        </is>
      </c>
      <c r="K220" t="inlineStr">
        <is>
          <t>Cash on Delivery</t>
        </is>
      </c>
      <c r="L220" t="n">
        <v>5</v>
      </c>
      <c r="M220" s="11" t="n">
        <v>0</v>
      </c>
      <c r="N220" t="inlineStr">
        <is>
          <t>Repeat</t>
        </is>
      </c>
      <c r="O220" t="inlineStr">
        <is>
          <t>2026-06</t>
        </is>
      </c>
      <c r="P220" s="11" t="n">
        <v>22.21</v>
      </c>
      <c r="Q220" s="11" t="n">
        <v>12.98</v>
      </c>
      <c r="R220" s="11" t="n">
        <v>-16.7</v>
      </c>
      <c r="S220" s="11" t="n">
        <v>-3.72</v>
      </c>
    </row>
    <row r="221">
      <c r="A221" t="inlineStr">
        <is>
          <t>ORD-1061</t>
        </is>
      </c>
      <c r="B221" s="10" t="n">
        <v>46183</v>
      </c>
      <c r="C221" t="inlineStr">
        <is>
          <t>CUST-076</t>
        </is>
      </c>
      <c r="D221" t="inlineStr">
        <is>
          <t>Ashanti</t>
        </is>
      </c>
      <c r="E221" t="inlineStr">
        <is>
          <t>Personal Care</t>
        </is>
      </c>
      <c r="F221" s="11" t="n">
        <v>281.76</v>
      </c>
      <c r="G221" s="11" t="n">
        <v>134.27</v>
      </c>
      <c r="H221" s="11" t="n">
        <v>30</v>
      </c>
      <c r="I221" s="11" t="n">
        <v>37.25</v>
      </c>
      <c r="J221" t="inlineStr">
        <is>
          <t>Delivered</t>
        </is>
      </c>
      <c r="K221" t="inlineStr">
        <is>
          <t>Mobile Money</t>
        </is>
      </c>
      <c r="L221" t="n">
        <v>4</v>
      </c>
      <c r="M221" s="11" t="n">
        <v>0</v>
      </c>
      <c r="N221" t="inlineStr">
        <is>
          <t>Repeat</t>
        </is>
      </c>
      <c r="O221" t="inlineStr">
        <is>
          <t>2026-06</t>
        </is>
      </c>
      <c r="P221" s="11" t="n">
        <v>281.76</v>
      </c>
      <c r="Q221" s="11" t="n">
        <v>147.49</v>
      </c>
      <c r="R221" s="11" t="n">
        <v>-7.25</v>
      </c>
      <c r="S221" s="11" t="n">
        <v>140.24</v>
      </c>
    </row>
    <row r="222">
      <c r="A222" t="inlineStr">
        <is>
          <t>ORD-1079</t>
        </is>
      </c>
      <c r="B222" s="10" t="n">
        <v>46184</v>
      </c>
      <c r="C222" t="inlineStr">
        <is>
          <t>CUST-088</t>
        </is>
      </c>
      <c r="D222" t="inlineStr">
        <is>
          <t>Ashanti</t>
        </is>
      </c>
      <c r="E222" t="inlineStr">
        <is>
          <t>Small Appliances</t>
        </is>
      </c>
      <c r="F222" s="11" t="n">
        <v>1496.52</v>
      </c>
      <c r="G222" s="11" t="n">
        <v>1099.07</v>
      </c>
      <c r="H222" s="11" t="n">
        <v>25</v>
      </c>
      <c r="I222" s="11" t="n">
        <v>39.78</v>
      </c>
      <c r="J222" t="inlineStr">
        <is>
          <t>Delivered</t>
        </is>
      </c>
      <c r="K222" t="inlineStr">
        <is>
          <t>Cash on Delivery</t>
        </is>
      </c>
      <c r="L222" t="n">
        <v>1</v>
      </c>
      <c r="M222" s="11" t="n">
        <v>0</v>
      </c>
      <c r="N222" t="inlineStr">
        <is>
          <t>Repeat</t>
        </is>
      </c>
      <c r="O222" t="inlineStr">
        <is>
          <t>2026-06</t>
        </is>
      </c>
      <c r="P222" s="11" t="n">
        <v>1496.52</v>
      </c>
      <c r="Q222" s="11" t="n">
        <v>397.45</v>
      </c>
      <c r="R222" s="11" t="n">
        <v>-14.78</v>
      </c>
      <c r="S222" s="11" t="n">
        <v>382.67</v>
      </c>
    </row>
    <row r="223">
      <c r="A223" t="inlineStr">
        <is>
          <t>ORD-1130</t>
        </is>
      </c>
      <c r="B223" s="10" t="n">
        <v>46184</v>
      </c>
      <c r="C223" t="inlineStr">
        <is>
          <t>CUST-083</t>
        </is>
      </c>
      <c r="D223" t="inlineStr">
        <is>
          <t>Northern</t>
        </is>
      </c>
      <c r="E223" t="inlineStr">
        <is>
          <t>Home &amp; Kitchen</t>
        </is>
      </c>
      <c r="F223" s="11" t="n">
        <v>247.81</v>
      </c>
      <c r="G223" s="11" t="n">
        <v>133.92</v>
      </c>
      <c r="H223" s="11" t="n">
        <v>25</v>
      </c>
      <c r="I223" s="11" t="n">
        <v>39.84</v>
      </c>
      <c r="J223" t="inlineStr">
        <is>
          <t>Delivered</t>
        </is>
      </c>
      <c r="K223" t="inlineStr">
        <is>
          <t>Cash on Delivery</t>
        </is>
      </c>
      <c r="L223" t="n">
        <v>4</v>
      </c>
      <c r="M223" s="11" t="n">
        <v>0</v>
      </c>
      <c r="N223" t="inlineStr">
        <is>
          <t>Repeat</t>
        </is>
      </c>
      <c r="O223" t="inlineStr">
        <is>
          <t>2026-06</t>
        </is>
      </c>
      <c r="P223" s="11" t="n">
        <v>247.81</v>
      </c>
      <c r="Q223" s="11" t="n">
        <v>113.89</v>
      </c>
      <c r="R223" s="11" t="n">
        <v>-14.84</v>
      </c>
      <c r="S223" s="11" t="n">
        <v>99.05</v>
      </c>
    </row>
    <row r="224">
      <c r="A224" t="inlineStr">
        <is>
          <t>ORD-1066</t>
        </is>
      </c>
      <c r="B224" s="10" t="n">
        <v>46185</v>
      </c>
      <c r="C224" t="inlineStr">
        <is>
          <t>CUST-063</t>
        </is>
      </c>
      <c r="D224" t="inlineStr">
        <is>
          <t>Northern</t>
        </is>
      </c>
      <c r="E224" t="inlineStr">
        <is>
          <t>Small Appliances</t>
        </is>
      </c>
      <c r="F224" s="11" t="n">
        <v>784.51</v>
      </c>
      <c r="G224" s="11" t="n">
        <v>528.37</v>
      </c>
      <c r="H224" s="11" t="n">
        <v>20</v>
      </c>
      <c r="I224" s="11" t="n">
        <v>38.7</v>
      </c>
      <c r="J224" t="inlineStr">
        <is>
          <t>Failed</t>
        </is>
      </c>
      <c r="K224" t="inlineStr">
        <is>
          <t>Mobile Money</t>
        </is>
      </c>
      <c r="L224" t="n">
        <v>9</v>
      </c>
      <c r="M224" s="11" t="n">
        <v>12.9</v>
      </c>
      <c r="N224" t="inlineStr">
        <is>
          <t>Repeat</t>
        </is>
      </c>
      <c r="O224" t="inlineStr">
        <is>
          <t>2026-06</t>
        </is>
      </c>
      <c r="P224" s="11" t="n">
        <v>0</v>
      </c>
      <c r="Q224" s="11" t="n">
        <v>0</v>
      </c>
      <c r="R224" s="11" t="n">
        <v>-18.7</v>
      </c>
      <c r="S224" s="11" t="n">
        <v>-31.6</v>
      </c>
    </row>
    <row r="225">
      <c r="A225" t="inlineStr">
        <is>
          <t>ORD-1148</t>
        </is>
      </c>
      <c r="B225" s="10" t="n">
        <v>46185</v>
      </c>
      <c r="C225" t="inlineStr">
        <is>
          <t>CUST-050</t>
        </is>
      </c>
      <c r="D225" t="inlineStr">
        <is>
          <t>Ashanti</t>
        </is>
      </c>
      <c r="E225" t="inlineStr">
        <is>
          <t>Small Appliances</t>
        </is>
      </c>
      <c r="F225" s="11" t="n">
        <v>492.43</v>
      </c>
      <c r="G225" s="11" t="n">
        <v>296.9</v>
      </c>
      <c r="H225" s="11" t="n">
        <v>10</v>
      </c>
      <c r="I225" s="11" t="n">
        <v>18.45</v>
      </c>
      <c r="J225" t="inlineStr">
        <is>
          <t>Delivered</t>
        </is>
      </c>
      <c r="K225" t="inlineStr">
        <is>
          <t>Cash on Delivery</t>
        </is>
      </c>
      <c r="L225" t="n">
        <v>5</v>
      </c>
      <c r="M225" s="11" t="n">
        <v>0</v>
      </c>
      <c r="N225" t="inlineStr">
        <is>
          <t>Repeat</t>
        </is>
      </c>
      <c r="O225" t="inlineStr">
        <is>
          <t>2026-06</t>
        </is>
      </c>
      <c r="P225" s="11" t="n">
        <v>492.43</v>
      </c>
      <c r="Q225" s="11" t="n">
        <v>195.53</v>
      </c>
      <c r="R225" s="11" t="n">
        <v>-8.449999999999999</v>
      </c>
      <c r="S225" s="11" t="n">
        <v>187.08</v>
      </c>
    </row>
    <row r="226">
      <c r="A226" t="inlineStr">
        <is>
          <t>ORD-1168</t>
        </is>
      </c>
      <c r="B226" s="10" t="n">
        <v>46185</v>
      </c>
      <c r="C226" t="inlineStr">
        <is>
          <t>CUST-071</t>
        </is>
      </c>
      <c r="D226" t="inlineStr">
        <is>
          <t>Greater Accra</t>
        </is>
      </c>
      <c r="E226" t="inlineStr">
        <is>
          <t>Home &amp; Kitchen</t>
        </is>
      </c>
      <c r="F226" s="11" t="n">
        <v>425.01</v>
      </c>
      <c r="G226" s="11" t="n">
        <v>234.01</v>
      </c>
      <c r="H226" s="11" t="n">
        <v>10</v>
      </c>
      <c r="I226" s="11" t="n">
        <v>17.03</v>
      </c>
      <c r="J226" t="inlineStr">
        <is>
          <t>Delivered</t>
        </is>
      </c>
      <c r="K226" t="inlineStr">
        <is>
          <t>Bank Transfer</t>
        </is>
      </c>
      <c r="L226" t="n">
        <v>2</v>
      </c>
      <c r="M226" s="11" t="n">
        <v>0</v>
      </c>
      <c r="N226" t="inlineStr">
        <is>
          <t>Repeat</t>
        </is>
      </c>
      <c r="O226" t="inlineStr">
        <is>
          <t>2026-06</t>
        </is>
      </c>
      <c r="P226" s="11" t="n">
        <v>425.01</v>
      </c>
      <c r="Q226" s="11" t="n">
        <v>191</v>
      </c>
      <c r="R226" s="11" t="n">
        <v>-7.03</v>
      </c>
      <c r="S226" s="11" t="n">
        <v>183.97</v>
      </c>
    </row>
    <row r="227">
      <c r="A227" t="inlineStr">
        <is>
          <t>ORD-1145</t>
        </is>
      </c>
      <c r="B227" s="10" t="n">
        <v>46186</v>
      </c>
      <c r="C227" t="inlineStr">
        <is>
          <t>CUST-080</t>
        </is>
      </c>
      <c r="D227" t="inlineStr">
        <is>
          <t>Greater Accra</t>
        </is>
      </c>
      <c r="E227" t="inlineStr">
        <is>
          <t>Home &amp; Kitchen</t>
        </is>
      </c>
      <c r="F227" s="11" t="n">
        <v>116.51</v>
      </c>
      <c r="G227" s="11" t="n">
        <v>70.25</v>
      </c>
      <c r="H227" s="11" t="n">
        <v>30</v>
      </c>
      <c r="I227" s="11" t="n">
        <v>37.36</v>
      </c>
      <c r="J227" t="inlineStr">
        <is>
          <t>Delivered</t>
        </is>
      </c>
      <c r="K227" t="inlineStr">
        <is>
          <t>Cash on Delivery</t>
        </is>
      </c>
      <c r="L227" t="n">
        <v>3</v>
      </c>
      <c r="M227" s="11" t="n">
        <v>0</v>
      </c>
      <c r="N227" t="inlineStr">
        <is>
          <t>Repeat</t>
        </is>
      </c>
      <c r="O227" t="inlineStr">
        <is>
          <t>2026-06</t>
        </is>
      </c>
      <c r="P227" s="11" t="n">
        <v>116.51</v>
      </c>
      <c r="Q227" s="11" t="n">
        <v>46.26000000000001</v>
      </c>
      <c r="R227" s="11" t="n">
        <v>-7.36</v>
      </c>
      <c r="S227" s="11" t="n">
        <v>38.9</v>
      </c>
    </row>
    <row r="228">
      <c r="A228" t="inlineStr">
        <is>
          <t>ORD-1163</t>
        </is>
      </c>
      <c r="B228" s="10" t="n">
        <v>46186</v>
      </c>
      <c r="C228" t="inlineStr">
        <is>
          <t>CUST-023</t>
        </is>
      </c>
      <c r="D228" t="inlineStr">
        <is>
          <t>Ashanti</t>
        </is>
      </c>
      <c r="E228" t="inlineStr">
        <is>
          <t>Stationery</t>
        </is>
      </c>
      <c r="F228" s="11" t="n">
        <v>98.94</v>
      </c>
      <c r="G228" s="11" t="n">
        <v>36.79</v>
      </c>
      <c r="H228" s="11" t="n">
        <v>15</v>
      </c>
      <c r="I228" s="11" t="n">
        <v>27.92</v>
      </c>
      <c r="J228" t="inlineStr">
        <is>
          <t>Delivered</t>
        </is>
      </c>
      <c r="K228" t="inlineStr">
        <is>
          <t>Cash on Delivery</t>
        </is>
      </c>
      <c r="L228" t="n">
        <v>3</v>
      </c>
      <c r="M228" s="11" t="n">
        <v>0</v>
      </c>
      <c r="N228" t="inlineStr">
        <is>
          <t>Repeat</t>
        </is>
      </c>
      <c r="O228" t="inlineStr">
        <is>
          <t>2026-06</t>
        </is>
      </c>
      <c r="P228" s="11" t="n">
        <v>98.94</v>
      </c>
      <c r="Q228" s="11" t="n">
        <v>62.15</v>
      </c>
      <c r="R228" s="11" t="n">
        <v>-12.92</v>
      </c>
      <c r="S228" s="11" t="n">
        <v>49.23</v>
      </c>
    </row>
    <row r="229">
      <c r="A229" t="inlineStr">
        <is>
          <t>ORD-1192</t>
        </is>
      </c>
      <c r="B229" s="10" t="n">
        <v>46186</v>
      </c>
      <c r="C229" t="inlineStr">
        <is>
          <t>CUST-030</t>
        </is>
      </c>
      <c r="D229" t="inlineStr">
        <is>
          <t>Northern</t>
        </is>
      </c>
      <c r="E229" t="inlineStr">
        <is>
          <t>Electronics Accessories</t>
        </is>
      </c>
      <c r="F229" s="11" t="n">
        <v>418.91</v>
      </c>
      <c r="G229" s="11" t="n">
        <v>271.92</v>
      </c>
      <c r="H229" s="11" t="n">
        <v>10</v>
      </c>
      <c r="I229" s="11" t="n">
        <v>28.81</v>
      </c>
      <c r="J229" t="inlineStr">
        <is>
          <t>Delivered</t>
        </is>
      </c>
      <c r="K229" t="inlineStr">
        <is>
          <t>Bank Transfer</t>
        </is>
      </c>
      <c r="L229" t="n">
        <v>3</v>
      </c>
      <c r="M229" s="11" t="n">
        <v>0</v>
      </c>
      <c r="N229" t="inlineStr">
        <is>
          <t>Repeat</t>
        </is>
      </c>
      <c r="O229" t="inlineStr">
        <is>
          <t>2026-06</t>
        </is>
      </c>
      <c r="P229" s="11" t="n">
        <v>418.91</v>
      </c>
      <c r="Q229" s="11" t="n">
        <v>146.99</v>
      </c>
      <c r="R229" s="11" t="n">
        <v>-18.81</v>
      </c>
      <c r="S229" s="11" t="n">
        <v>128.18</v>
      </c>
    </row>
    <row r="230">
      <c r="A230" t="inlineStr">
        <is>
          <t>ORD-1209</t>
        </is>
      </c>
      <c r="B230" s="10" t="n">
        <v>46187</v>
      </c>
      <c r="C230" t="inlineStr">
        <is>
          <t>CUST-083</t>
        </is>
      </c>
      <c r="D230" t="inlineStr">
        <is>
          <t>Northern</t>
        </is>
      </c>
      <c r="E230" t="inlineStr">
        <is>
          <t>Small Appliances</t>
        </is>
      </c>
      <c r="F230" s="11" t="n">
        <v>655.52</v>
      </c>
      <c r="G230" s="11" t="n">
        <v>498.48</v>
      </c>
      <c r="H230" s="11" t="n">
        <v>25</v>
      </c>
      <c r="I230" s="11" t="n">
        <v>45.7</v>
      </c>
      <c r="J230" t="inlineStr">
        <is>
          <t>Failed</t>
        </is>
      </c>
      <c r="K230" t="inlineStr">
        <is>
          <t>Mobile Money</t>
        </is>
      </c>
      <c r="L230" t="n">
        <v>4</v>
      </c>
      <c r="M230" s="11" t="n">
        <v>19.11</v>
      </c>
      <c r="N230" t="inlineStr">
        <is>
          <t>Repeat</t>
        </is>
      </c>
      <c r="O230" t="inlineStr">
        <is>
          <t>2026-06</t>
        </is>
      </c>
      <c r="P230" s="11" t="n">
        <v>0</v>
      </c>
      <c r="Q230" s="11" t="n">
        <v>0</v>
      </c>
      <c r="R230" s="11" t="n">
        <v>-20.7</v>
      </c>
      <c r="S230" s="11" t="n">
        <v>-39.81</v>
      </c>
    </row>
    <row r="231">
      <c r="A231" t="inlineStr">
        <is>
          <t>ORD-1233</t>
        </is>
      </c>
      <c r="B231" s="10" t="n">
        <v>46189</v>
      </c>
      <c r="C231" t="inlineStr">
        <is>
          <t>CUST-005</t>
        </is>
      </c>
      <c r="D231" t="inlineStr">
        <is>
          <t>Central</t>
        </is>
      </c>
      <c r="E231" t="inlineStr">
        <is>
          <t>Electronics Accessories</t>
        </is>
      </c>
      <c r="F231" s="11" t="n">
        <v>391</v>
      </c>
      <c r="G231" s="11" t="n">
        <v>242.22</v>
      </c>
      <c r="H231" s="11" t="n">
        <v>10</v>
      </c>
      <c r="I231" s="11" t="n">
        <v>23.37</v>
      </c>
      <c r="J231" t="inlineStr">
        <is>
          <t>Delivered</t>
        </is>
      </c>
      <c r="K231" t="inlineStr">
        <is>
          <t>Mobile Money</t>
        </is>
      </c>
      <c r="L231" t="n">
        <v>4</v>
      </c>
      <c r="M231" s="11" t="n">
        <v>0</v>
      </c>
      <c r="N231" t="inlineStr">
        <is>
          <t>Repeat</t>
        </is>
      </c>
      <c r="O231" t="inlineStr">
        <is>
          <t>2026-06</t>
        </is>
      </c>
      <c r="P231" s="11" t="n">
        <v>391</v>
      </c>
      <c r="Q231" s="11" t="n">
        <v>148.78</v>
      </c>
      <c r="R231" s="11" t="n">
        <v>-13.37</v>
      </c>
      <c r="S231" s="11" t="n">
        <v>135.41</v>
      </c>
    </row>
    <row r="232">
      <c r="A232" t="inlineStr">
        <is>
          <t>ORD-1247</t>
        </is>
      </c>
      <c r="B232" s="10" t="n">
        <v>46189</v>
      </c>
      <c r="C232" t="inlineStr">
        <is>
          <t>CUST-077</t>
        </is>
      </c>
      <c r="D232" t="inlineStr">
        <is>
          <t>Western</t>
        </is>
      </c>
      <c r="E232" t="inlineStr">
        <is>
          <t>Electronics Accessories</t>
        </is>
      </c>
      <c r="F232" s="11" t="n">
        <v>342.95</v>
      </c>
      <c r="G232" s="11" t="n">
        <v>236.81</v>
      </c>
      <c r="H232" s="11" t="n">
        <v>15</v>
      </c>
      <c r="I232" s="11" t="n">
        <v>28.79</v>
      </c>
      <c r="J232" t="inlineStr">
        <is>
          <t>Delivered</t>
        </is>
      </c>
      <c r="K232" t="inlineStr">
        <is>
          <t>Mobile Money</t>
        </is>
      </c>
      <c r="L232" t="n">
        <v>4</v>
      </c>
      <c r="M232" s="11" t="n">
        <v>0</v>
      </c>
      <c r="N232" t="inlineStr">
        <is>
          <t>Repeat</t>
        </is>
      </c>
      <c r="O232" t="inlineStr">
        <is>
          <t>2026-06</t>
        </is>
      </c>
      <c r="P232" s="11" t="n">
        <v>342.95</v>
      </c>
      <c r="Q232" s="11" t="n">
        <v>106.14</v>
      </c>
      <c r="R232" s="11" t="n">
        <v>-13.79</v>
      </c>
      <c r="S232" s="11" t="n">
        <v>92.34999999999999</v>
      </c>
    </row>
    <row r="233">
      <c r="A233" t="inlineStr">
        <is>
          <t>ORD-1176</t>
        </is>
      </c>
      <c r="B233" s="10" t="n">
        <v>46190</v>
      </c>
      <c r="C233" t="inlineStr">
        <is>
          <t>CUST-087</t>
        </is>
      </c>
      <c r="D233" t="inlineStr">
        <is>
          <t>Western</t>
        </is>
      </c>
      <c r="E233" t="inlineStr">
        <is>
          <t>Home &amp; Kitchen</t>
        </is>
      </c>
      <c r="F233" s="11" t="n">
        <v>372.01</v>
      </c>
      <c r="G233" s="11" t="n">
        <v>220.41</v>
      </c>
      <c r="H233" s="11" t="n">
        <v>25</v>
      </c>
      <c r="I233" s="11" t="n">
        <v>35.34</v>
      </c>
      <c r="J233" t="inlineStr">
        <is>
          <t>Delivered</t>
        </is>
      </c>
      <c r="K233" t="inlineStr">
        <is>
          <t>Mobile Money</t>
        </is>
      </c>
      <c r="L233" t="n">
        <v>4</v>
      </c>
      <c r="M233" s="11" t="n">
        <v>0</v>
      </c>
      <c r="N233" t="inlineStr">
        <is>
          <t>Repeat</t>
        </is>
      </c>
      <c r="O233" t="inlineStr">
        <is>
          <t>2026-06</t>
        </is>
      </c>
      <c r="P233" s="11" t="n">
        <v>372.01</v>
      </c>
      <c r="Q233" s="11" t="n">
        <v>151.6</v>
      </c>
      <c r="R233" s="11" t="n">
        <v>-10.34</v>
      </c>
      <c r="S233" s="11" t="n">
        <v>141.26</v>
      </c>
    </row>
    <row r="234">
      <c r="A234" t="inlineStr">
        <is>
          <t>ORD-1226</t>
        </is>
      </c>
      <c r="B234" s="10" t="n">
        <v>46190</v>
      </c>
      <c r="C234" t="inlineStr">
        <is>
          <t>CUST-088</t>
        </is>
      </c>
      <c r="D234" t="inlineStr">
        <is>
          <t>Ashanti</t>
        </is>
      </c>
      <c r="E234" t="inlineStr">
        <is>
          <t>Home &amp; Kitchen</t>
        </is>
      </c>
      <c r="F234" s="11" t="n">
        <v>508.02</v>
      </c>
      <c r="G234" s="11" t="n">
        <v>268.21</v>
      </c>
      <c r="H234" s="11" t="n">
        <v>25</v>
      </c>
      <c r="I234" s="11" t="n">
        <v>34.61</v>
      </c>
      <c r="J234" t="inlineStr">
        <is>
          <t>Delivered</t>
        </is>
      </c>
      <c r="K234" t="inlineStr">
        <is>
          <t>Mobile Money</t>
        </is>
      </c>
      <c r="L234" t="n">
        <v>3</v>
      </c>
      <c r="M234" s="11" t="n">
        <v>0</v>
      </c>
      <c r="N234" t="inlineStr">
        <is>
          <t>Repeat</t>
        </is>
      </c>
      <c r="O234" t="inlineStr">
        <is>
          <t>2026-06</t>
        </is>
      </c>
      <c r="P234" s="11" t="n">
        <v>508.02</v>
      </c>
      <c r="Q234" s="11" t="n">
        <v>239.81</v>
      </c>
      <c r="R234" s="11" t="n">
        <v>-9.609999999999999</v>
      </c>
      <c r="S234" s="11" t="n">
        <v>230.2</v>
      </c>
    </row>
    <row r="235">
      <c r="A235" t="inlineStr">
        <is>
          <t>ORD-1012</t>
        </is>
      </c>
      <c r="B235" s="10" t="n">
        <v>46192</v>
      </c>
      <c r="C235" t="inlineStr">
        <is>
          <t>CUST-014</t>
        </is>
      </c>
      <c r="D235" t="inlineStr">
        <is>
          <t>Greater Accra</t>
        </is>
      </c>
      <c r="E235" t="inlineStr">
        <is>
          <t>Small Appliances</t>
        </is>
      </c>
      <c r="F235" s="11" t="n">
        <v>331.29</v>
      </c>
      <c r="G235" s="11" t="n">
        <v>205.66</v>
      </c>
      <c r="H235" s="11" t="n">
        <v>10</v>
      </c>
      <c r="I235" s="11" t="n">
        <v>19.42</v>
      </c>
      <c r="J235" t="inlineStr">
        <is>
          <t>Delivered</t>
        </is>
      </c>
      <c r="K235" t="inlineStr">
        <is>
          <t>Mobile Money</t>
        </is>
      </c>
      <c r="L235" t="n">
        <v>1</v>
      </c>
      <c r="M235" s="11" t="n">
        <v>0</v>
      </c>
      <c r="N235" t="inlineStr">
        <is>
          <t>Repeat</t>
        </is>
      </c>
      <c r="O235" t="inlineStr">
        <is>
          <t>2026-06</t>
        </is>
      </c>
      <c r="P235" s="11" t="n">
        <v>331.29</v>
      </c>
      <c r="Q235" s="11" t="n">
        <v>125.63</v>
      </c>
      <c r="R235" s="11" t="n">
        <v>-9.42</v>
      </c>
      <c r="S235" s="11" t="n">
        <v>116.21</v>
      </c>
    </row>
    <row r="236">
      <c r="A236" t="inlineStr">
        <is>
          <t>ORD-1186</t>
        </is>
      </c>
      <c r="B236" s="10" t="n">
        <v>46192</v>
      </c>
      <c r="C236" t="inlineStr">
        <is>
          <t>CUST-062</t>
        </is>
      </c>
      <c r="D236" t="inlineStr">
        <is>
          <t>Northern</t>
        </is>
      </c>
      <c r="E236" t="inlineStr">
        <is>
          <t>Personal Care</t>
        </is>
      </c>
      <c r="F236" s="11" t="n">
        <v>111.28</v>
      </c>
      <c r="G236" s="11" t="n">
        <v>47.98</v>
      </c>
      <c r="H236" s="11" t="n">
        <v>30</v>
      </c>
      <c r="I236" s="11" t="n">
        <v>45.42</v>
      </c>
      <c r="J236" t="inlineStr">
        <is>
          <t>Delivered</t>
        </is>
      </c>
      <c r="K236" t="inlineStr">
        <is>
          <t>Cash on Delivery</t>
        </is>
      </c>
      <c r="L236" t="n">
        <v>3</v>
      </c>
      <c r="M236" s="11" t="n">
        <v>0</v>
      </c>
      <c r="N236" t="inlineStr">
        <is>
          <t>One-time</t>
        </is>
      </c>
      <c r="O236" t="inlineStr">
        <is>
          <t>2026-06</t>
        </is>
      </c>
      <c r="P236" s="11" t="n">
        <v>111.28</v>
      </c>
      <c r="Q236" s="11" t="n">
        <v>63.3</v>
      </c>
      <c r="R236" s="11" t="n">
        <v>-15.42</v>
      </c>
      <c r="S236" s="11" t="n">
        <v>47.88</v>
      </c>
    </row>
    <row r="237">
      <c r="A237" t="inlineStr">
        <is>
          <t>ORD-1199</t>
        </is>
      </c>
      <c r="B237" s="10" t="n">
        <v>46194</v>
      </c>
      <c r="C237" t="inlineStr">
        <is>
          <t>CUST-013</t>
        </is>
      </c>
      <c r="D237" t="inlineStr">
        <is>
          <t>Greater Accra</t>
        </is>
      </c>
      <c r="E237" t="inlineStr">
        <is>
          <t>Electronics Accessories</t>
        </is>
      </c>
      <c r="F237" s="11" t="n">
        <v>195.3</v>
      </c>
      <c r="G237" s="11" t="n">
        <v>112.93</v>
      </c>
      <c r="H237" s="11" t="n">
        <v>15</v>
      </c>
      <c r="I237" s="11" t="n">
        <v>17.07</v>
      </c>
      <c r="J237" t="inlineStr">
        <is>
          <t>Delivered</t>
        </is>
      </c>
      <c r="K237" t="inlineStr">
        <is>
          <t>Mobile Money</t>
        </is>
      </c>
      <c r="L237" t="n">
        <v>1</v>
      </c>
      <c r="M237" s="11" t="n">
        <v>0</v>
      </c>
      <c r="N237" t="inlineStr">
        <is>
          <t>One-time</t>
        </is>
      </c>
      <c r="O237" t="inlineStr">
        <is>
          <t>2026-06</t>
        </is>
      </c>
      <c r="P237" s="11" t="n">
        <v>195.3</v>
      </c>
      <c r="Q237" s="11" t="n">
        <v>82.37</v>
      </c>
      <c r="R237" s="11" t="n">
        <v>-2.07</v>
      </c>
      <c r="S237" s="11" t="n">
        <v>80.3</v>
      </c>
    </row>
    <row r="238">
      <c r="A238" t="inlineStr">
        <is>
          <t>ORD-1228</t>
        </is>
      </c>
      <c r="B238" s="10" t="n">
        <v>46194</v>
      </c>
      <c r="C238" t="inlineStr">
        <is>
          <t>CUST-007</t>
        </is>
      </c>
      <c r="D238" t="inlineStr">
        <is>
          <t>Eastern</t>
        </is>
      </c>
      <c r="E238" t="inlineStr">
        <is>
          <t>Stationery</t>
        </is>
      </c>
      <c r="F238" s="11" t="n">
        <v>83.04000000000001</v>
      </c>
      <c r="G238" s="11" t="n">
        <v>41.66</v>
      </c>
      <c r="H238" s="11" t="n">
        <v>15</v>
      </c>
      <c r="I238" s="11" t="n">
        <v>21.68</v>
      </c>
      <c r="J238" t="inlineStr">
        <is>
          <t>Delivered</t>
        </is>
      </c>
      <c r="K238" t="inlineStr">
        <is>
          <t>Mobile Money</t>
        </is>
      </c>
      <c r="L238" t="n">
        <v>3</v>
      </c>
      <c r="M238" s="11" t="n">
        <v>0</v>
      </c>
      <c r="N238" t="inlineStr">
        <is>
          <t>Repeat</t>
        </is>
      </c>
      <c r="O238" t="inlineStr">
        <is>
          <t>2026-06</t>
        </is>
      </c>
      <c r="P238" s="11" t="n">
        <v>83.04000000000001</v>
      </c>
      <c r="Q238" s="11" t="n">
        <v>41.38000000000001</v>
      </c>
      <c r="R238" s="11" t="n">
        <v>-6.68</v>
      </c>
      <c r="S238" s="11" t="n">
        <v>34.7</v>
      </c>
    </row>
    <row r="239">
      <c r="A239" t="inlineStr">
        <is>
          <t>ORD-1028</t>
        </is>
      </c>
      <c r="B239" s="10" t="n">
        <v>46195</v>
      </c>
      <c r="C239" t="inlineStr">
        <is>
          <t>CUST-040</t>
        </is>
      </c>
      <c r="D239" t="inlineStr">
        <is>
          <t>Northern</t>
        </is>
      </c>
      <c r="E239" t="inlineStr">
        <is>
          <t>Electronics Accessories</t>
        </is>
      </c>
      <c r="F239" s="11" t="n">
        <v>243.29</v>
      </c>
      <c r="G239" s="11" t="n">
        <v>127.58</v>
      </c>
      <c r="H239" s="11" t="n">
        <v>15</v>
      </c>
      <c r="I239" s="11" t="n">
        <v>36.84</v>
      </c>
      <c r="J239" t="inlineStr">
        <is>
          <t>Delivered</t>
        </is>
      </c>
      <c r="K239" t="inlineStr">
        <is>
          <t>Cash on Delivery</t>
        </is>
      </c>
      <c r="L239" t="n">
        <v>4</v>
      </c>
      <c r="M239" s="11" t="n">
        <v>0</v>
      </c>
      <c r="N239" t="inlineStr">
        <is>
          <t>Repeat</t>
        </is>
      </c>
      <c r="O239" t="inlineStr">
        <is>
          <t>2026-06</t>
        </is>
      </c>
      <c r="P239" s="11" t="n">
        <v>243.29</v>
      </c>
      <c r="Q239" s="11" t="n">
        <v>115.71</v>
      </c>
      <c r="R239" s="11" t="n">
        <v>-21.84</v>
      </c>
      <c r="S239" s="11" t="n">
        <v>93.87</v>
      </c>
    </row>
    <row r="240">
      <c r="A240" t="inlineStr">
        <is>
          <t>ORD-1220</t>
        </is>
      </c>
      <c r="B240" s="10" t="n">
        <v>46195</v>
      </c>
      <c r="C240" t="inlineStr">
        <is>
          <t>CUST-078</t>
        </is>
      </c>
      <c r="D240" t="inlineStr">
        <is>
          <t>Ashanti</t>
        </is>
      </c>
      <c r="E240" t="inlineStr">
        <is>
          <t>Personal Care</t>
        </is>
      </c>
      <c r="F240" s="11" t="n">
        <v>265.25</v>
      </c>
      <c r="G240" s="11" t="n">
        <v>115.08</v>
      </c>
      <c r="H240" s="11" t="n">
        <v>30</v>
      </c>
      <c r="I240" s="11" t="n">
        <v>42.24</v>
      </c>
      <c r="J240" t="inlineStr">
        <is>
          <t>Delivered</t>
        </is>
      </c>
      <c r="K240" t="inlineStr">
        <is>
          <t>Mobile Money</t>
        </is>
      </c>
      <c r="L240" t="n">
        <v>1</v>
      </c>
      <c r="M240" s="11" t="n">
        <v>0</v>
      </c>
      <c r="N240" t="inlineStr">
        <is>
          <t>Repeat</t>
        </is>
      </c>
      <c r="O240" t="inlineStr">
        <is>
          <t>2026-06</t>
        </is>
      </c>
      <c r="P240" s="11" t="n">
        <v>265.25</v>
      </c>
      <c r="Q240" s="11" t="n">
        <v>150.17</v>
      </c>
      <c r="R240" s="11" t="n">
        <v>-12.24</v>
      </c>
      <c r="S240" s="11" t="n">
        <v>137.93</v>
      </c>
    </row>
    <row r="241">
      <c r="A241" t="inlineStr">
        <is>
          <t>ORD-1021</t>
        </is>
      </c>
      <c r="B241" s="10" t="n">
        <v>46196</v>
      </c>
      <c r="C241" t="inlineStr">
        <is>
          <t>CUST-069</t>
        </is>
      </c>
      <c r="D241" t="inlineStr">
        <is>
          <t>Ashanti</t>
        </is>
      </c>
      <c r="E241" t="inlineStr">
        <is>
          <t>Home &amp; Kitchen</t>
        </is>
      </c>
      <c r="F241" s="11" t="n">
        <v>66.56</v>
      </c>
      <c r="G241" s="11" t="n">
        <v>39.79</v>
      </c>
      <c r="H241" s="11" t="n">
        <v>20</v>
      </c>
      <c r="I241" s="11" t="n">
        <v>26.79</v>
      </c>
      <c r="J241" t="inlineStr">
        <is>
          <t>Returned</t>
        </is>
      </c>
      <c r="K241" t="inlineStr">
        <is>
          <t>Mobile Money</t>
        </is>
      </c>
      <c r="L241" t="n">
        <v>1</v>
      </c>
      <c r="M241" s="11" t="n">
        <v>18.14</v>
      </c>
      <c r="N241" t="inlineStr">
        <is>
          <t>Repeat</t>
        </is>
      </c>
      <c r="O241" t="inlineStr">
        <is>
          <t>2026-06</t>
        </is>
      </c>
      <c r="P241" s="11" t="n">
        <v>0</v>
      </c>
      <c r="Q241" s="11" t="n">
        <v>0</v>
      </c>
      <c r="R241" s="11" t="n">
        <v>-6.79</v>
      </c>
      <c r="S241" s="11" t="n">
        <v>-24.93</v>
      </c>
    </row>
    <row r="242">
      <c r="A242" t="inlineStr">
        <is>
          <t>ORD-1157</t>
        </is>
      </c>
      <c r="B242" s="10" t="n">
        <v>46196</v>
      </c>
      <c r="C242" t="inlineStr">
        <is>
          <t>CUST-021</t>
        </is>
      </c>
      <c r="D242" t="inlineStr">
        <is>
          <t>Eastern</t>
        </is>
      </c>
      <c r="E242" t="inlineStr">
        <is>
          <t>Small Appliances</t>
        </is>
      </c>
      <c r="F242" s="11" t="n">
        <v>342.75</v>
      </c>
      <c r="G242" s="11" t="n">
        <v>243.13</v>
      </c>
      <c r="H242" s="11" t="n">
        <v>25</v>
      </c>
      <c r="I242" s="11" t="n">
        <v>31.35</v>
      </c>
      <c r="J242" t="inlineStr">
        <is>
          <t>Delivered</t>
        </is>
      </c>
      <c r="K242" t="inlineStr">
        <is>
          <t>Cash on Delivery</t>
        </is>
      </c>
      <c r="L242" t="n">
        <v>1</v>
      </c>
      <c r="M242" s="11" t="n">
        <v>0</v>
      </c>
      <c r="N242" t="inlineStr">
        <is>
          <t>Repeat</t>
        </is>
      </c>
      <c r="O242" t="inlineStr">
        <is>
          <t>2026-06</t>
        </is>
      </c>
      <c r="P242" s="11" t="n">
        <v>342.75</v>
      </c>
      <c r="Q242" s="11" t="n">
        <v>99.62</v>
      </c>
      <c r="R242" s="11" t="n">
        <v>-6.35</v>
      </c>
      <c r="S242" s="11" t="n">
        <v>93.27</v>
      </c>
    </row>
    <row r="243">
      <c r="A243" t="inlineStr">
        <is>
          <t>ORD-1082</t>
        </is>
      </c>
      <c r="B243" s="10" t="n">
        <v>46197</v>
      </c>
      <c r="C243" t="inlineStr">
        <is>
          <t>CUST-031</t>
        </is>
      </c>
      <c r="D243" t="inlineStr">
        <is>
          <t>Eastern</t>
        </is>
      </c>
      <c r="E243" t="inlineStr">
        <is>
          <t>Personal Care</t>
        </is>
      </c>
      <c r="F243" s="11" t="n">
        <v>185.37</v>
      </c>
      <c r="G243" s="11" t="n">
        <v>81.90000000000001</v>
      </c>
      <c r="H243" s="11" t="n">
        <v>20</v>
      </c>
      <c r="I243" s="11" t="n">
        <v>30.6</v>
      </c>
      <c r="J243" t="inlineStr">
        <is>
          <t>Delivered</t>
        </is>
      </c>
      <c r="K243" t="inlineStr">
        <is>
          <t>Card</t>
        </is>
      </c>
      <c r="L243" t="n">
        <v>4</v>
      </c>
      <c r="M243" s="11" t="n">
        <v>0</v>
      </c>
      <c r="N243" t="inlineStr">
        <is>
          <t>Repeat</t>
        </is>
      </c>
      <c r="O243" t="inlineStr">
        <is>
          <t>2026-06</t>
        </is>
      </c>
      <c r="P243" s="11" t="n">
        <v>185.37</v>
      </c>
      <c r="Q243" s="11" t="n">
        <v>103.47</v>
      </c>
      <c r="R243" s="11" t="n">
        <v>-10.6</v>
      </c>
      <c r="S243" s="11" t="n">
        <v>92.87</v>
      </c>
    </row>
    <row r="244">
      <c r="A244" t="inlineStr">
        <is>
          <t>ORD-1166</t>
        </is>
      </c>
      <c r="B244" s="10" t="n">
        <v>46197</v>
      </c>
      <c r="C244" t="inlineStr">
        <is>
          <t>CUST-067</t>
        </is>
      </c>
      <c r="D244" t="inlineStr">
        <is>
          <t>Greater Accra</t>
        </is>
      </c>
      <c r="E244" t="inlineStr">
        <is>
          <t>Home &amp; Kitchen</t>
        </is>
      </c>
      <c r="F244" s="11" t="n">
        <v>576.78</v>
      </c>
      <c r="G244" s="11" t="n">
        <v>334.79</v>
      </c>
      <c r="H244" s="11" t="n">
        <v>30</v>
      </c>
      <c r="I244" s="11" t="n">
        <v>33.82</v>
      </c>
      <c r="J244" t="inlineStr">
        <is>
          <t>Returned</t>
        </is>
      </c>
      <c r="K244" t="inlineStr">
        <is>
          <t>Mobile Money</t>
        </is>
      </c>
      <c r="L244" t="n">
        <v>7</v>
      </c>
      <c r="M244" s="11" t="n">
        <v>8.94</v>
      </c>
      <c r="N244" t="inlineStr">
        <is>
          <t>Repeat</t>
        </is>
      </c>
      <c r="O244" t="inlineStr">
        <is>
          <t>2026-06</t>
        </is>
      </c>
      <c r="P244" s="11" t="n">
        <v>0</v>
      </c>
      <c r="Q244" s="11" t="n">
        <v>0</v>
      </c>
      <c r="R244" s="11" t="n">
        <v>-3.82</v>
      </c>
      <c r="S244" s="11" t="n">
        <v>-12.76</v>
      </c>
    </row>
    <row r="245">
      <c r="A245" t="inlineStr">
        <is>
          <t>ORD-1187</t>
        </is>
      </c>
      <c r="B245" s="10" t="n">
        <v>46197</v>
      </c>
      <c r="C245" t="inlineStr">
        <is>
          <t>CUST-083</t>
        </is>
      </c>
      <c r="D245" t="inlineStr">
        <is>
          <t>Northern</t>
        </is>
      </c>
      <c r="E245" t="inlineStr">
        <is>
          <t>Stationery</t>
        </is>
      </c>
      <c r="F245" s="11" t="n">
        <v>58.62</v>
      </c>
      <c r="G245" s="11" t="n">
        <v>25.63</v>
      </c>
      <c r="H245" s="11" t="n">
        <v>15</v>
      </c>
      <c r="I245" s="11" t="n">
        <v>29.79</v>
      </c>
      <c r="J245" t="inlineStr">
        <is>
          <t>Delivered</t>
        </is>
      </c>
      <c r="K245" t="inlineStr">
        <is>
          <t>Bank Transfer</t>
        </is>
      </c>
      <c r="L245" t="n">
        <v>5</v>
      </c>
      <c r="M245" s="11" t="n">
        <v>0</v>
      </c>
      <c r="N245" t="inlineStr">
        <is>
          <t>Repeat</t>
        </is>
      </c>
      <c r="O245" t="inlineStr">
        <is>
          <t>2026-06</t>
        </is>
      </c>
      <c r="P245" s="11" t="n">
        <v>58.62</v>
      </c>
      <c r="Q245" s="11" t="n">
        <v>32.98999999999999</v>
      </c>
      <c r="R245" s="11" t="n">
        <v>-14.79</v>
      </c>
      <c r="S245" s="11" t="n">
        <v>18.2</v>
      </c>
    </row>
    <row r="246">
      <c r="A246" t="inlineStr">
        <is>
          <t>ORD-1133</t>
        </is>
      </c>
      <c r="B246" s="10" t="n">
        <v>46198</v>
      </c>
      <c r="C246" t="inlineStr">
        <is>
          <t>CUST-068</t>
        </is>
      </c>
      <c r="D246" t="inlineStr">
        <is>
          <t>Greater Accra</t>
        </is>
      </c>
      <c r="E246" t="inlineStr">
        <is>
          <t>Electronics Accessories</t>
        </is>
      </c>
      <c r="F246" s="11" t="n">
        <v>629.77</v>
      </c>
      <c r="G246" s="11" t="n">
        <v>385.12</v>
      </c>
      <c r="H246" s="11" t="n">
        <v>10</v>
      </c>
      <c r="I246" s="11" t="n">
        <v>15.63</v>
      </c>
      <c r="J246" t="inlineStr">
        <is>
          <t>Delivered</t>
        </is>
      </c>
      <c r="K246" t="inlineStr">
        <is>
          <t>Mobile Money</t>
        </is>
      </c>
      <c r="L246" t="n">
        <v>1</v>
      </c>
      <c r="M246" s="11" t="n">
        <v>0</v>
      </c>
      <c r="N246" t="inlineStr">
        <is>
          <t>Repeat</t>
        </is>
      </c>
      <c r="O246" t="inlineStr">
        <is>
          <t>2026-06</t>
        </is>
      </c>
      <c r="P246" s="11" t="n">
        <v>629.77</v>
      </c>
      <c r="Q246" s="11" t="n">
        <v>244.65</v>
      </c>
      <c r="R246" s="11" t="n">
        <v>-5.63</v>
      </c>
      <c r="S246" s="11" t="n">
        <v>239.02</v>
      </c>
    </row>
    <row r="247">
      <c r="A247" t="inlineStr">
        <is>
          <t>ORD-1084</t>
        </is>
      </c>
      <c r="B247" s="10" t="n">
        <v>46199</v>
      </c>
      <c r="C247" t="inlineStr">
        <is>
          <t>CUST-033</t>
        </is>
      </c>
      <c r="D247" t="inlineStr">
        <is>
          <t>Northern</t>
        </is>
      </c>
      <c r="E247" t="inlineStr">
        <is>
          <t>Home &amp; Kitchen</t>
        </is>
      </c>
      <c r="F247" s="11" t="n">
        <v>231.27</v>
      </c>
      <c r="G247" s="11" t="n">
        <v>143.36</v>
      </c>
      <c r="H247" s="11" t="n">
        <v>25</v>
      </c>
      <c r="I247" s="11" t="n">
        <v>38.07</v>
      </c>
      <c r="J247" t="inlineStr">
        <is>
          <t>Delivered</t>
        </is>
      </c>
      <c r="K247" t="inlineStr">
        <is>
          <t>Mobile Money</t>
        </is>
      </c>
      <c r="L247" t="n">
        <v>5</v>
      </c>
      <c r="M247" s="11" t="n">
        <v>0</v>
      </c>
      <c r="N247" t="inlineStr">
        <is>
          <t>Repeat</t>
        </is>
      </c>
      <c r="O247" t="inlineStr">
        <is>
          <t>2026-06</t>
        </is>
      </c>
      <c r="P247" s="11" t="n">
        <v>231.27</v>
      </c>
      <c r="Q247" s="11" t="n">
        <v>87.91</v>
      </c>
      <c r="R247" s="11" t="n">
        <v>-13.07</v>
      </c>
      <c r="S247" s="11" t="n">
        <v>74.84</v>
      </c>
    </row>
    <row r="248">
      <c r="A248" t="inlineStr">
        <is>
          <t>ORD-1185</t>
        </is>
      </c>
      <c r="B248" s="10" t="n">
        <v>46199</v>
      </c>
      <c r="C248" t="inlineStr">
        <is>
          <t>CUST-027</t>
        </is>
      </c>
      <c r="D248" t="inlineStr">
        <is>
          <t>Greater Accra</t>
        </is>
      </c>
      <c r="E248" t="inlineStr">
        <is>
          <t>Home &amp; Kitchen</t>
        </is>
      </c>
      <c r="F248" s="11" t="n">
        <v>514.98</v>
      </c>
      <c r="G248" s="11" t="n">
        <v>311.92</v>
      </c>
      <c r="H248" s="11" t="n">
        <v>10</v>
      </c>
      <c r="I248" s="11" t="n">
        <v>19.06</v>
      </c>
      <c r="J248" t="inlineStr">
        <is>
          <t>Delivered</t>
        </is>
      </c>
      <c r="K248" t="inlineStr">
        <is>
          <t>Cash on Delivery</t>
        </is>
      </c>
      <c r="L248" t="n">
        <v>2</v>
      </c>
      <c r="M248" s="11" t="n">
        <v>0</v>
      </c>
      <c r="N248" t="inlineStr">
        <is>
          <t>Repeat</t>
        </is>
      </c>
      <c r="O248" t="inlineStr">
        <is>
          <t>2026-06</t>
        </is>
      </c>
      <c r="P248" s="11" t="n">
        <v>514.98</v>
      </c>
      <c r="Q248" s="11" t="n">
        <v>203.06</v>
      </c>
      <c r="R248" s="11" t="n">
        <v>-9.06</v>
      </c>
      <c r="S248" s="11" t="n">
        <v>194</v>
      </c>
    </row>
    <row r="249">
      <c r="A249" t="inlineStr">
        <is>
          <t>ORD-1025</t>
        </is>
      </c>
      <c r="B249" s="10" t="n">
        <v>46201</v>
      </c>
      <c r="C249" t="inlineStr">
        <is>
          <t>CUST-038</t>
        </is>
      </c>
      <c r="D249" t="inlineStr">
        <is>
          <t>Northern</t>
        </is>
      </c>
      <c r="E249" t="inlineStr">
        <is>
          <t>Personal Care</t>
        </is>
      </c>
      <c r="F249" s="11" t="n">
        <v>77.76000000000001</v>
      </c>
      <c r="G249" s="11" t="n">
        <v>40.41</v>
      </c>
      <c r="H249" s="11" t="n">
        <v>25</v>
      </c>
      <c r="I249" s="11" t="n">
        <v>43.77</v>
      </c>
      <c r="J249" t="inlineStr">
        <is>
          <t>Failed</t>
        </is>
      </c>
      <c r="K249" t="inlineStr">
        <is>
          <t>Cash on Delivery</t>
        </is>
      </c>
      <c r="L249" t="n">
        <v>6</v>
      </c>
      <c r="M249" s="11" t="n">
        <v>14.9</v>
      </c>
      <c r="N249" t="inlineStr">
        <is>
          <t>Repeat</t>
        </is>
      </c>
      <c r="O249" t="inlineStr">
        <is>
          <t>2026-06</t>
        </is>
      </c>
      <c r="P249" s="11" t="n">
        <v>0</v>
      </c>
      <c r="Q249" s="11" t="n">
        <v>0</v>
      </c>
      <c r="R249" s="11" t="n">
        <v>-18.77</v>
      </c>
      <c r="S249" s="11" t="n">
        <v>-33.67</v>
      </c>
    </row>
    <row r="250">
      <c r="A250" t="inlineStr">
        <is>
          <t>ORD-1095</t>
        </is>
      </c>
      <c r="B250" s="10" t="n">
        <v>46201</v>
      </c>
      <c r="C250" t="inlineStr">
        <is>
          <t>CUST-070</t>
        </is>
      </c>
      <c r="D250" t="inlineStr">
        <is>
          <t>Greater Accra</t>
        </is>
      </c>
      <c r="E250" t="inlineStr">
        <is>
          <t>Home &amp; Kitchen</t>
        </is>
      </c>
      <c r="F250" s="11" t="n">
        <v>495.36</v>
      </c>
      <c r="G250" s="11" t="n">
        <v>231.74</v>
      </c>
      <c r="H250" s="11" t="n">
        <v>25</v>
      </c>
      <c r="I250" s="11" t="n">
        <v>33.55</v>
      </c>
      <c r="J250" t="inlineStr">
        <is>
          <t>Delivered</t>
        </is>
      </c>
      <c r="K250" t="inlineStr">
        <is>
          <t>Cash on Delivery</t>
        </is>
      </c>
      <c r="L250" t="n">
        <v>2</v>
      </c>
      <c r="M250" s="11" t="n">
        <v>0</v>
      </c>
      <c r="N250" t="inlineStr">
        <is>
          <t>Repeat</t>
        </is>
      </c>
      <c r="O250" t="inlineStr">
        <is>
          <t>2026-06</t>
        </is>
      </c>
      <c r="P250" s="11" t="n">
        <v>495.36</v>
      </c>
      <c r="Q250" s="11" t="n">
        <v>263.62</v>
      </c>
      <c r="R250" s="11" t="n">
        <v>-8.550000000000001</v>
      </c>
      <c r="S250" s="11" t="n">
        <v>255.07</v>
      </c>
    </row>
    <row r="251">
      <c r="A251" t="inlineStr">
        <is>
          <t>ORD-1222</t>
        </is>
      </c>
      <c r="B251" s="10" t="n">
        <v>46201</v>
      </c>
      <c r="C251" t="inlineStr">
        <is>
          <t>CUST-078</t>
        </is>
      </c>
      <c r="D251" t="inlineStr">
        <is>
          <t>Ashanti</t>
        </is>
      </c>
      <c r="E251" t="inlineStr">
        <is>
          <t>Stationery</t>
        </is>
      </c>
      <c r="F251" s="11" t="n">
        <v>80.44</v>
      </c>
      <c r="G251" s="11" t="n">
        <v>31.62</v>
      </c>
      <c r="H251" s="11" t="n">
        <v>20</v>
      </c>
      <c r="I251" s="11" t="n">
        <v>32.76</v>
      </c>
      <c r="J251" t="inlineStr">
        <is>
          <t>Delivered</t>
        </is>
      </c>
      <c r="K251" t="inlineStr">
        <is>
          <t>Cash on Delivery</t>
        </is>
      </c>
      <c r="L251" t="n">
        <v>3</v>
      </c>
      <c r="M251" s="11" t="n">
        <v>0</v>
      </c>
      <c r="N251" t="inlineStr">
        <is>
          <t>Repeat</t>
        </is>
      </c>
      <c r="O251" t="inlineStr">
        <is>
          <t>2026-06</t>
        </is>
      </c>
      <c r="P251" s="11" t="n">
        <v>80.44</v>
      </c>
      <c r="Q251" s="11" t="n">
        <v>48.81999999999999</v>
      </c>
      <c r="R251" s="11" t="n">
        <v>-12.76</v>
      </c>
      <c r="S251" s="11" t="n">
        <v>36.06</v>
      </c>
    </row>
  </sheetData>
  <autoFilter ref="A1:S2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F6E8C"/>
    <outlinePr summaryBelow="1" summaryRight="1"/>
    <pageSetUpPr fitToPage="1"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18" customWidth="1" min="3" max="3"/>
    <col width="90" customWidth="1" min="4" max="4"/>
  </cols>
  <sheetData>
    <row r="1" ht="30" customHeight="1">
      <c r="A1" s="4" t="inlineStr">
        <is>
          <t>Column_Name</t>
        </is>
      </c>
      <c r="B1" s="4" t="inlineStr">
        <is>
          <t>Definition</t>
        </is>
      </c>
      <c r="C1" s="4" t="inlineStr">
        <is>
          <t>Data_Type</t>
        </is>
      </c>
      <c r="D1" s="4" t="inlineStr">
        <is>
          <t>Validation_or_Assumption</t>
        </is>
      </c>
    </row>
    <row r="2" ht="40" customHeight="1">
      <c r="A2" s="3" t="inlineStr">
        <is>
          <t>Order_ID</t>
        </is>
      </c>
      <c r="B2" s="3" t="inlineStr">
        <is>
          <t>Unique order identifier. One row represents one order.</t>
        </is>
      </c>
      <c r="C2" s="3" t="inlineStr">
        <is>
          <t>Text</t>
        </is>
      </c>
      <c r="D2" s="3" t="inlineStr">
        <is>
          <t>Must be unique and non-blank.</t>
        </is>
      </c>
    </row>
    <row r="3" ht="40" customHeight="1">
      <c r="A3" s="3" t="inlineStr">
        <is>
          <t>Order_Date</t>
        </is>
      </c>
      <c r="B3" s="3" t="inlineStr">
        <is>
          <t>Date the order was placed.</t>
        </is>
      </c>
      <c r="C3" s="3" t="inlineStr">
        <is>
          <t>Date</t>
        </is>
      </c>
      <c r="D3" s="3" t="inlineStr">
        <is>
          <t>Dates span Jan–Jun 2026.</t>
        </is>
      </c>
    </row>
    <row r="4" ht="40" customHeight="1">
      <c r="A4" s="3" t="inlineStr">
        <is>
          <t>Customer_ID</t>
        </is>
      </c>
      <c r="B4" s="3" t="inlineStr">
        <is>
          <t>Identifier for the customer who placed the order.</t>
        </is>
      </c>
      <c r="C4" s="3" t="inlineStr">
        <is>
          <t>Text</t>
        </is>
      </c>
      <c r="D4" s="3" t="inlineStr">
        <is>
          <t>90 possible customers; some order more than once.</t>
        </is>
      </c>
    </row>
    <row r="5" ht="40" customHeight="1">
      <c r="A5" s="3" t="inlineStr">
        <is>
          <t>Region</t>
        </is>
      </c>
      <c r="B5" s="3" t="inlineStr">
        <is>
          <t>Customer delivery region in Ghana.</t>
        </is>
      </c>
      <c r="C5" s="3" t="inlineStr">
        <is>
          <t>Category</t>
        </is>
      </c>
      <c r="D5" s="3" t="inlineStr">
        <is>
          <t>Six simulated regions.</t>
        </is>
      </c>
    </row>
    <row r="6" ht="40" customHeight="1">
      <c r="A6" s="3" t="inlineStr">
        <is>
          <t>Product_Category</t>
        </is>
      </c>
      <c r="B6" s="3" t="inlineStr">
        <is>
          <t>Product category purchased.</t>
        </is>
      </c>
      <c r="C6" s="3" t="inlineStr">
        <is>
          <t>Category</t>
        </is>
      </c>
      <c r="D6" s="3" t="inlineStr">
        <is>
          <t>Five categories.</t>
        </is>
      </c>
    </row>
    <row r="7" ht="40" customHeight="1">
      <c r="A7" s="3" t="inlineStr">
        <is>
          <t>Order_Value_GHS</t>
        </is>
      </c>
      <c r="B7" s="3" t="inlineStr">
        <is>
          <t>Recorded value of the order before outcome is considered.</t>
        </is>
      </c>
      <c r="C7" s="3" t="inlineStr">
        <is>
          <t>GHS</t>
        </is>
      </c>
      <c r="D7" s="3" t="inlineStr">
        <is>
          <t>For failed/returned orders, not counted as delivered sales.</t>
        </is>
      </c>
    </row>
    <row r="8" ht="40" customHeight="1">
      <c r="A8" s="3" t="inlineStr">
        <is>
          <t>Product_Cost_GHS</t>
        </is>
      </c>
      <c r="B8" s="3" t="inlineStr">
        <is>
          <t>Estimated cost of products associated with the order.</t>
        </is>
      </c>
      <c r="C8" s="3" t="inlineStr">
        <is>
          <t>GHS</t>
        </is>
      </c>
      <c r="D8" s="3" t="inlineStr">
        <is>
          <t>For this simple model, product cost is recognised only when delivered.</t>
        </is>
      </c>
    </row>
    <row r="9" ht="40" customHeight="1">
      <c r="A9" s="3" t="inlineStr">
        <is>
          <t>Delivery_Fee_GHS</t>
        </is>
      </c>
      <c r="B9" s="3" t="inlineStr">
        <is>
          <t>Delivery fee charged for the order.</t>
        </is>
      </c>
      <c r="C9" s="3" t="inlineStr">
        <is>
          <t>GHS</t>
        </is>
      </c>
      <c r="D9" s="3" t="inlineStr">
        <is>
          <t>Simulated values.</t>
        </is>
      </c>
    </row>
    <row r="10" ht="40" customHeight="1">
      <c r="A10" s="3" t="inlineStr">
        <is>
          <t>Delivery_Cost_GHS</t>
        </is>
      </c>
      <c r="B10" s="3" t="inlineStr">
        <is>
          <t>Estimated cost paid by retailer to deliver/attempt the order.</t>
        </is>
      </c>
      <c r="C10" s="3" t="inlineStr">
        <is>
          <t>GHS</t>
        </is>
      </c>
      <c r="D10" s="3" t="inlineStr">
        <is>
          <t>Includes attempted deliveries even if not delivered.</t>
        </is>
      </c>
    </row>
    <row r="11" ht="40" customHeight="1">
      <c r="A11" s="3" t="inlineStr">
        <is>
          <t>Delivery_Status</t>
        </is>
      </c>
      <c r="B11" s="3" t="inlineStr">
        <is>
          <t>Outcome of the order.</t>
        </is>
      </c>
      <c r="C11" s="3" t="inlineStr">
        <is>
          <t>Category</t>
        </is>
      </c>
      <c r="D11" s="3" t="inlineStr">
        <is>
          <t>Delivered, Failed, or Returned.</t>
        </is>
      </c>
    </row>
    <row r="12" ht="40" customHeight="1">
      <c r="A12" s="3" t="inlineStr">
        <is>
          <t>Payment_Method</t>
        </is>
      </c>
      <c r="B12" s="3" t="inlineStr">
        <is>
          <t>Recorded payment method.</t>
        </is>
      </c>
      <c r="C12" s="3" t="inlineStr">
        <is>
          <t>Category</t>
        </is>
      </c>
      <c r="D12" s="3" t="inlineStr">
        <is>
          <t>Mobile Money, Cash on Delivery, Card, Bank Transfer.</t>
        </is>
      </c>
    </row>
    <row r="13" ht="40" customHeight="1">
      <c r="A13" s="3" t="inlineStr">
        <is>
          <t>Delivery_Days</t>
        </is>
      </c>
      <c r="B13" s="3" t="inlineStr">
        <is>
          <t>Number of days until delivery outcome/attempt is recorded.</t>
        </is>
      </c>
      <c r="C13" s="3" t="inlineStr">
        <is>
          <t>Days</t>
        </is>
      </c>
      <c r="D13" s="3" t="inlineStr">
        <is>
          <t>Simulated operational metric.</t>
        </is>
      </c>
    </row>
    <row r="14" ht="40" customHeight="1">
      <c r="A14" s="3" t="inlineStr">
        <is>
          <t>Failure_Handling_Cost_GHS</t>
        </is>
      </c>
      <c r="B14" s="3" t="inlineStr">
        <is>
          <t>Estimated handling cost for Failed/Returned orders.</t>
        </is>
      </c>
      <c r="C14" s="3" t="inlineStr">
        <is>
          <t>GHS</t>
        </is>
      </c>
      <c r="D14" s="3" t="inlineStr">
        <is>
          <t>Zero for Delivered orders.</t>
        </is>
      </c>
    </row>
    <row r="15" ht="40" customHeight="1">
      <c r="A15" s="3" t="inlineStr">
        <is>
          <t>Repeat_Customer_Flag</t>
        </is>
      </c>
      <c r="B15" s="3" t="inlineStr">
        <is>
          <t>Whether customer has more than one order in the full dataset.</t>
        </is>
      </c>
      <c r="C15" s="3" t="inlineStr">
        <is>
          <t>Category</t>
        </is>
      </c>
      <c r="D15" s="3" t="inlineStr">
        <is>
          <t>Descriptive flag; not a future retention prediction.</t>
        </is>
      </c>
    </row>
    <row r="16" ht="40" customHeight="1">
      <c r="A16" s="3" t="inlineStr">
        <is>
          <t>Month</t>
        </is>
      </c>
      <c r="B16" s="3" t="inlineStr">
        <is>
          <t>Order month in YYYY-MM format.</t>
        </is>
      </c>
      <c r="C16" s="3" t="inlineStr">
        <is>
          <t>Text</t>
        </is>
      </c>
      <c r="D16" s="3" t="inlineStr">
        <is>
          <t>Derived from Order_Date.</t>
        </is>
      </c>
    </row>
    <row r="17" ht="40" customHeight="1">
      <c r="A17" s="3" t="inlineStr">
        <is>
          <t>Delivered_Sales_GHS</t>
        </is>
      </c>
      <c r="B17" s="3" t="inlineStr">
        <is>
          <t>Order value counted only if Delivery_Status is Delivered.</t>
        </is>
      </c>
      <c r="C17" s="3" t="inlineStr">
        <is>
          <t>GHS</t>
        </is>
      </c>
      <c r="D17" s="3" t="inlineStr">
        <is>
          <t>0 for Failed/Returned.</t>
        </is>
      </c>
    </row>
    <row r="18" ht="40" customHeight="1">
      <c r="A18" s="3" t="inlineStr">
        <is>
          <t>Product_Profit_GHS</t>
        </is>
      </c>
      <c r="B18" s="3" t="inlineStr">
        <is>
          <t>Delivered sales minus product cost for Delivered orders.</t>
        </is>
      </c>
      <c r="C18" s="3" t="inlineStr">
        <is>
          <t>GHS</t>
        </is>
      </c>
      <c r="D18" s="3" t="inlineStr">
        <is>
          <t>0 for Failed/Returned.</t>
        </is>
      </c>
    </row>
    <row r="19" ht="40" customHeight="1">
      <c r="A19" s="3" t="inlineStr">
        <is>
          <t>Delivery_Margin_GHS</t>
        </is>
      </c>
      <c r="B19" s="3" t="inlineStr">
        <is>
          <t>Delivery fee minus delivery cost for every attempted order.</t>
        </is>
      </c>
      <c r="C19" s="3" t="inlineStr">
        <is>
          <t>GHS</t>
        </is>
      </c>
      <c r="D19" s="3" t="inlineStr">
        <is>
          <t>0 for Failed/Returned.</t>
        </is>
      </c>
    </row>
    <row r="20" ht="40" customHeight="1">
      <c r="A20" s="3" t="inlineStr">
        <is>
          <t>Estimated_Contribution_GHS</t>
        </is>
      </c>
      <c r="B20" s="3" t="inlineStr">
        <is>
          <t>Product profit (Delivered only) + delivery margin (all attempts) - failure/return handling cost.</t>
        </is>
      </c>
      <c r="C20" s="3" t="inlineStr">
        <is>
          <t>GHS</t>
        </is>
      </c>
      <c r="D20" s="3" t="inlineStr">
        <is>
          <t>Simplified estimate; excludes overhead, taxes, marketing, etc.</t>
        </is>
      </c>
    </row>
  </sheetData>
  <autoFilter ref="A1:D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6E8C"/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42" customWidth="1" min="3" max="3"/>
    <col width="74" customWidth="1" min="4" max="4"/>
  </cols>
  <sheetData>
    <row r="1" ht="30" customHeight="1">
      <c r="A1" s="7" t="inlineStr">
        <is>
          <t>EXCEL ANALYSIS | FORMULAS + SUMMARY</t>
        </is>
      </c>
    </row>
    <row r="2" ht="30" customHeight="1">
      <c r="A2" s="4" t="inlineStr">
        <is>
          <t>Metric</t>
        </is>
      </c>
      <c r="B2" s="4" t="inlineStr">
        <is>
          <t>Value</t>
        </is>
      </c>
      <c r="C2" s="4" t="inlineStr">
        <is>
          <t>How it is calculated</t>
        </is>
      </c>
      <c r="D2" s="4" t="inlineStr">
        <is>
          <t>Interpretation note</t>
        </is>
      </c>
    </row>
    <row r="3" ht="38" customHeight="1">
      <c r="A3" s="3" t="inlineStr">
        <is>
          <t>Total orders</t>
        </is>
      </c>
      <c r="B3" s="3">
        <f>COUNTA(RAW_ORDERS!A2:A251)</f>
        <v/>
      </c>
      <c r="C3" s="3" t="inlineStr">
        <is>
          <t>Count of Order_ID</t>
        </is>
      </c>
      <c r="D3" s="3" t="inlineStr">
        <is>
          <t>Includes Delivered, Failed, and Returned orders.</t>
        </is>
      </c>
    </row>
    <row r="4" ht="38" customHeight="1">
      <c r="A4" s="3" t="inlineStr">
        <is>
          <t>Unique customers</t>
        </is>
      </c>
      <c r="B4" s="3">
        <f>SUMPRODUCT((RAW_ORDERS!C2:C251&lt;&gt;"")/COUNTIF(RAW_ORDERS!C2:C251,RAW_ORDERS!C2:C251&amp;""))</f>
        <v/>
      </c>
      <c r="C4" s="3" t="inlineStr">
        <is>
          <t>Distinct Customer_ID count</t>
        </is>
      </c>
      <c r="D4" s="3" t="inlineStr">
        <is>
          <t>Use Data &gt; Remove Duplicates only on a copy if you want to verify manually.</t>
        </is>
      </c>
    </row>
    <row r="5" ht="38" customHeight="1">
      <c r="A5" s="3" t="inlineStr">
        <is>
          <t>Delivered orders</t>
        </is>
      </c>
      <c r="B5" s="3">
        <f>COUNTIF(RAW_ORDERS!J2:J251,"Delivered")</f>
        <v/>
      </c>
      <c r="C5" s="3" t="inlineStr">
        <is>
          <t>Count of Delivered status</t>
        </is>
      </c>
      <c r="D5" s="3" t="inlineStr">
        <is>
          <t>Only Delivered orders count as delivered sales.</t>
        </is>
      </c>
    </row>
    <row r="6" ht="38" customHeight="1">
      <c r="A6" s="3" t="inlineStr">
        <is>
          <t>Failed orders</t>
        </is>
      </c>
      <c r="B6" s="3">
        <f>COUNTIF(RAW_ORDERS!J2:J251,"Failed")</f>
        <v/>
      </c>
      <c r="C6" s="3" t="inlineStr">
        <is>
          <t>Count of Failed status</t>
        </is>
      </c>
      <c r="D6" s="3" t="inlineStr">
        <is>
          <t>Returned orders are a separate outcome.</t>
        </is>
      </c>
    </row>
    <row r="7" ht="38" customHeight="1">
      <c r="A7" s="3" t="inlineStr">
        <is>
          <t>Returned orders</t>
        </is>
      </c>
      <c r="B7" s="3">
        <f>COUNTIF(RAW_ORDERS!J2:J251,"Returned")</f>
        <v/>
      </c>
      <c r="C7" s="3" t="inlineStr">
        <is>
          <t>Count of Returned status</t>
        </is>
      </c>
      <c r="D7" s="3" t="inlineStr">
        <is>
          <t>Don't merge Returned with Failed unless explicitly defined.</t>
        </is>
      </c>
    </row>
    <row r="8" ht="38" customHeight="1">
      <c r="A8" s="3" t="inlineStr">
        <is>
          <t>Delivery failure rate</t>
        </is>
      </c>
      <c r="B8" s="12">
        <f>IFERROR(B6/B3,0)</f>
        <v/>
      </c>
      <c r="C8" s="3" t="inlineStr">
        <is>
          <t>Failed orders / total orders</t>
        </is>
      </c>
      <c r="D8" s="3" t="inlineStr">
        <is>
          <t>Format as percentage; denominator is all orders.</t>
        </is>
      </c>
    </row>
    <row r="9" ht="38" customHeight="1">
      <c r="A9" s="3" t="inlineStr">
        <is>
          <t>Delivered sales (GHS)</t>
        </is>
      </c>
      <c r="B9" s="13">
        <f>SUM(CLEANED_ORDERS!P2:P251)</f>
        <v/>
      </c>
      <c r="C9" s="3" t="inlineStr">
        <is>
          <t>Sum of Delivered_Sales_GHS</t>
        </is>
      </c>
      <c r="D9" s="3" t="inlineStr">
        <is>
          <t>Not the same as order value for all statuses.</t>
        </is>
      </c>
    </row>
    <row r="10" ht="38" customHeight="1">
      <c r="A10" s="3" t="inlineStr">
        <is>
          <t>Estimated contribution (GHS)</t>
        </is>
      </c>
      <c r="B10" s="13">
        <f>SUM(CLEANED_ORDERS!S2:S251)</f>
        <v/>
      </c>
      <c r="C10" s="3" t="inlineStr">
        <is>
          <t>Sum of Estimated_Contribution_GHS</t>
        </is>
      </c>
      <c r="D10" s="3" t="inlineStr">
        <is>
          <t>Simplified estimate; not net profit.</t>
        </is>
      </c>
    </row>
    <row r="11" ht="38" customHeight="1">
      <c r="A11" s="3" t="inlineStr">
        <is>
          <t>Repeat customers</t>
        </is>
      </c>
      <c r="B11" s="3">
        <f>COUNTIF(CLEANED_ORDERS!O2:O251,"Repeat")</f>
        <v/>
      </c>
      <c r="C11" s="3" t="inlineStr">
        <is>
          <t>Counts orders flagged Repeat, not distinct repeat customers</t>
        </is>
      </c>
      <c r="D11" s="3" t="inlineStr">
        <is>
          <t>For distinct customer repeat rate, use PivotTable or Python/SQL customer aggregation.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A9D8F"/>
    <outlinePr summaryBelow="1" summaryRight="1"/>
    <pageSetUpPr fitToPage="1"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0" customWidth="1" min="2" max="2"/>
  </cols>
  <sheetData>
    <row r="1" ht="30" customHeight="1">
      <c r="A1" s="7" t="inlineStr">
        <is>
          <t>BEYOND REVENUE — PROJECT GUIDE</t>
        </is>
      </c>
    </row>
    <row r="2" ht="60" customHeight="1">
      <c r="A2" s="2" t="inlineStr">
        <is>
          <t>Project objective</t>
        </is>
      </c>
      <c r="B2" s="3" t="inlineStr">
        <is>
          <t>Use a simulated retail order dataset to investigate delivery outcomes, product profitability, and repeat-order behaviour. The point is to demonstrate a complete analytical workflow, not to claim findings about a real company.</t>
        </is>
      </c>
    </row>
    <row r="3" ht="60" customHeight="1">
      <c r="A3" s="2" t="inlineStr">
        <is>
          <t>Step 1 — Excel</t>
        </is>
      </c>
      <c r="B3" s="3" t="inlineStr">
        <is>
          <t>Open RAW_ORDERS. Check row count, unique Order_ID values, blanks, status labels, date range, and numeric columns. Do not overwrite raw data. Use CLEANED_ORDERS as the analysis-ready table and EXCEL_ANALYSIS as a starting summary.</t>
        </is>
      </c>
    </row>
    <row r="4" ht="60" customHeight="1">
      <c r="A4" s="2" t="inlineStr">
        <is>
          <t>Step 2 — Python</t>
        </is>
      </c>
      <c r="B4" s="3" t="inlineStr">
        <is>
          <t>In Google Colab, upload this workbook or export CLEANED_ORDERS to CSV. Read the data with pandas, inspect .shape, .head(), .info(), isna().sum(), duplicated().sum(), then calculate group summaries and at least 3 findings.</t>
        </is>
      </c>
    </row>
    <row r="5" ht="60" customHeight="1">
      <c r="A5" s="2" t="inlineStr">
        <is>
          <t>Step 3 — SQL Server</t>
        </is>
      </c>
      <c r="B5" s="3" t="inlineStr">
        <is>
          <t>Create database RetailOperationsDB. Import CLEANED_ORDERS as dbo.Orders. Confirm row count and data types. Run the example queries from the written project guide. SQL import may convert some column types; verify dates and numeric columns.</t>
        </is>
      </c>
    </row>
    <row r="6" ht="60" customHeight="1">
      <c r="A6" s="2" t="inlineStr">
        <is>
          <t>Step 4 — Power BI</t>
        </is>
      </c>
      <c r="B6" s="3" t="inlineStr">
        <is>
          <t>Get Data &gt; Excel workbook &gt; select CLEANED_ORDERS. Load it. Create measures using DAX, then build two report pages: Business Overview and Delivery &amp; Customer Analysis. Use filters/slicers for Month, Region, and Product_Category.</t>
        </is>
      </c>
    </row>
    <row r="7" ht="60" customHeight="1">
      <c r="A7" s="2" t="inlineStr">
        <is>
          <t>Step 5 — Report</t>
        </is>
      </c>
      <c r="B7" s="3" t="inlineStr">
        <is>
          <t>Write an executive summary with the business question, 3 evidence-backed findings, 3 recommendations, limitations, and one scenario calculation. Only use numbers you have verified.</t>
        </is>
      </c>
    </row>
    <row r="8" ht="60" customHeight="1">
      <c r="A8" s="2" t="inlineStr">
        <is>
          <t>Financial definition</t>
        </is>
      </c>
      <c r="B8" s="3" t="inlineStr">
        <is>
          <t>Delivered sales = Order_Value_GHS only for Delivered orders. Product profit = Order Value - Product Cost only for Delivered orders. Delivery margin = Delivery Fee - Delivery Cost for every attempted order. Estimated Contribution = Product Profit (Delivered only) + Delivery Margin (all attempts) - Failure Handling Cost. Assumption: the recorded delivery fee is retained for each attempted delivery; actual business policies may differ.</t>
        </is>
      </c>
    </row>
    <row r="9" ht="60" customHeight="1">
      <c r="A9" s="2" t="inlineStr">
        <is>
          <t>Customer definition</t>
        </is>
      </c>
      <c r="B9" s="3" t="inlineStr">
        <is>
          <t>Repeat customer means a Customer_ID with more than one order across this six-month dataset. This is a retrospective description, not a predictive churn label. When calculating a repeat customer rate, count distinct customers, not rows.</t>
        </is>
      </c>
    </row>
    <row r="10" ht="60" customHeight="1">
      <c r="A10" s="2" t="inlineStr">
        <is>
          <t>Ethics &amp; disclosure</t>
        </is>
      </c>
      <c r="B10" s="3" t="inlineStr">
        <is>
          <t>Label the dataset as simulated in your GitHub README and LinkedIn post. Do not describe these records as actual company data or claim the results represent the Ghanaian retail market.</t>
        </is>
      </c>
    </row>
    <row r="11" ht="40" customHeight="1">
      <c r="A11" s="2" t="inlineStr">
        <is>
          <t>Completion checklist</t>
        </is>
      </c>
      <c r="B11" s="3" t="inlineStr">
        <is>
          <t>[ ] Excel quality checks; [ ] Python notebook; [ ] SQL script; [ ] Power BI report; [ ] 3 verified findings; [ ] recommendations; [ ] GitHub README; [ ] LinkedIn post with screenshots.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2026-10-17T10:54:11Z</dcterms:created>
  <dcterms:modified xmlns:dcterms="http://purl.org/dc/terms/" xmlns:xsi="http://www.w3.org/2001/XMLSchema-instance" xsi:type="dcterms:W3CDTF">2026-10-17T10:54:38Z</dcterms:modified>
</cp:coreProperties>
</file>